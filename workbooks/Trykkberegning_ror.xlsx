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ykkberegning" sheetId="1" state="visible" r:id="rId3"/>
    <sheet name="Bend" sheetId="2" state="visible" r:id="rId4"/>
    <sheet name="Ventiler" sheetId="3" state="visible" r:id="rId5"/>
    <sheet name="Komponenter" sheetId="4" state="visible" r:id="rId6"/>
    <sheet name="Veiledning" sheetId="5" state="visible" r:id="rId7"/>
    <sheet name="Rørdata" sheetId="6" state="visible" r:id="rId8"/>
    <sheet name="Materialer" sheetId="7" state="visible" r:id="rId9"/>
    <sheet name="Medier" sheetId="8" state="visible" r:id="rId10"/>
    <sheet name="Beregning" sheetId="9" state="visible" r:id="rId11"/>
    <sheet name="_Lister" sheetId="10" state="hidden" r:id="rId12"/>
  </sheets>
  <definedNames>
    <definedName function="false" hidden="false" localSheetId="1" name="_xlnm.Print_Area" vbProcedure="false">Bend!$A$1:$K$36</definedName>
    <definedName function="false" hidden="true" localSheetId="1" name="_xlnm._FilterDatabase" vbProcedure="false">Bend!$A$6:$K$31</definedName>
    <definedName function="false" hidden="false" localSheetId="8" name="_xlnm.Print_Area" vbProcedure="false">Beregning!$A$1:$E$38</definedName>
    <definedName function="false" hidden="false" localSheetId="3" name="_xlnm.Print_Area" vbProcedure="false">Komponenter!$A$1:$F$36</definedName>
    <definedName function="false" hidden="true" localSheetId="3" name="_xlnm._FilterDatabase" vbProcedure="false">Komponenter!$A$6:$F$31</definedName>
    <definedName function="false" hidden="false" localSheetId="6" name="_xlnm.Print_Area" vbProcedure="false">Materialer!$A$1:$E$20</definedName>
    <definedName function="false" hidden="false" localSheetId="7" name="_xlnm.Print_Area" vbProcedure="false">Medier!$A$1:$D$18</definedName>
    <definedName function="false" hidden="false" localSheetId="5" name="_xlnm.Print_Area" vbProcedure="false">Rørdata!$B$1:$E$52</definedName>
    <definedName function="false" hidden="false" localSheetId="5" name="_xlnm.Print_Titles" vbProcedure="false">Rørdata!$1:$6</definedName>
    <definedName function="false" hidden="true" localSheetId="5" name="_xlnm._FilterDatabase" vbProcedure="false">Rørdata!$A$6:$E$52</definedName>
    <definedName function="false" hidden="false" localSheetId="0" name="_xlnm.Print_Area" vbProcedure="false">Trykkberegning!$A$1:$N$41</definedName>
    <definedName function="false" hidden="false" localSheetId="4" name="_xlnm.Print_Area" vbProcedure="false">Veiledning!$A$1:$C$19</definedName>
    <definedName function="false" hidden="false" localSheetId="4" name="_xlnm.Print_Titles" vbProcedure="false">Veiledning!$1:$3</definedName>
    <definedName function="false" hidden="false" localSheetId="2" name="_xlnm.Print_Area" vbProcedure="false">Ventiler!$A$1:$F$36</definedName>
    <definedName function="false" hidden="true" localSheetId="2" name="_xlnm._FilterDatabase" vbProcedure="false">Ventiler!$A$6:$F$31</definedName>
    <definedName function="false" hidden="false" name="Benddata" vbProcedure="false">_Lister!$I$2:$K$8</definedName>
    <definedName function="false" hidden="false" name="Bendtyper" vbProcedure="false">_Lister!$G$2:$G$8</definedName>
    <definedName function="false" hidden="false" name="ENStandarder" vbProcedure="false">_Lister!$E$2:$E$9</definedName>
    <definedName function="false" hidden="false" name="Materialdata" vbProcedure="false">Materialer!$A$7:$E$12</definedName>
    <definedName function="false" hidden="false" name="Materialvalg" vbProcedure="false">_Lister!$D$2:$D$7</definedName>
    <definedName function="false" hidden="false" name="Mediedata" vbProcedure="false">Medier!$A$7:$D$13</definedName>
    <definedName function="false" hidden="false" name="Medievalg" vbProcedure="false">_Lister!$F$2:$F$8</definedName>
    <definedName function="false" hidden="false" name="MetriskeOD" vbProcedure="false">_Lister!$C$2:$C$20</definedName>
    <definedName function="false" hidden="false" name="NominelleDN" vbProcedure="false">_Lister!$B$2:$B$16</definedName>
    <definedName function="false" hidden="false" name="Roroppslag" vbProcedure="false">Rørdata!$A$7:$E$52</definedName>
    <definedName function="false" hidden="false" name="Rorserier" vbProcedure="false">_Lister!$A$2:$A$4</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R-rdimensjonering</author>
  </authors>
  <commentList>
    <comment ref="E6" authorId="0">
      <text>
        <r>
          <rPr>
            <sz val="10"/>
            <rFont val="Arial"/>
            <family val="2"/>
          </rPr>
          <t xml:space="preserve">EN 10220 / ISO 4200 og ISO 1127: utvalg vanlig OD for metallrør. Metrisk OD er direkte valg i mm, uten automatisk veggserie.</t>
        </r>
      </text>
    </comment>
    <comment ref="E7" authorId="0">
      <text>
        <r>
          <rPr>
            <sz val="10"/>
            <rFont val="Arial"/>
            <family val="2"/>
          </rPr>
          <t xml:space="preserve">Bytter du til metrisk OD, velg en OD-verdi fra listen. DN alene bestemmer ikke innvendig diameter.</t>
        </r>
      </text>
    </comment>
    <comment ref="E9" authorId="0">
      <text>
        <r>
          <rPr>
            <sz val="10"/>
            <rFont val="Arial"/>
            <family val="2"/>
          </rPr>
          <t xml:space="preserve">Tomt felt bruker tabellens utvendige diameter. Egendefinert dimensjon trenger egen OD eller egen ID.</t>
        </r>
      </text>
    </comment>
    <comment ref="E10" authorId="0">
      <text>
        <r>
          <rPr>
            <sz val="10"/>
            <rFont val="Arial"/>
            <family val="2"/>
          </rPr>
          <t xml:space="preserve">Veggtykkelse må være kjent fra rørdata/sertifikat. Det foretas ingen mekanisk godstykkelsesberegning.</t>
        </r>
      </text>
    </comment>
    <comment ref="E11" authorId="0">
      <text>
        <r>
          <rPr>
            <sz val="10"/>
            <rFont val="Arial"/>
            <family val="2"/>
          </rPr>
          <t xml:space="preserve">Denne verdien overstyrer OD − 2 × veggtykkelse. Bruk for kjent/målt lysåpning, belegg eller avvikende veggserie.</t>
        </r>
      </text>
    </comment>
    <comment ref="E14" authorId="0">
      <text>
        <r>
          <rPr>
            <sz val="10"/>
            <rFont val="Arial"/>
            <family val="2"/>
          </rPr>
          <t xml:space="preserve">Velg kompatibel produktstandard for valgt materiale. Dette er dokumentasjon, ikke kontroll av arbeidstrykk iht. EN 13480.</t>
        </r>
      </text>
    </comment>
    <comment ref="E16" authorId="0">
      <text>
        <r>
          <rPr>
            <sz val="10"/>
            <rFont val="Arial"/>
            <family val="2"/>
          </rPr>
          <t xml:space="preserve">Tomt felt bruker materialets generelle startanslag. 0 gir hydraulisk glatt rør.</t>
        </r>
      </text>
    </comment>
    <comment ref="E17" authorId="0">
      <text>
        <r>
          <rPr>
            <sz val="10"/>
            <rFont val="Arial"/>
            <family val="2"/>
          </rPr>
          <t xml:space="preserve">Én kobling = ett flensepar med pakning. Kontroller flensstandard, f.eks. EN 1092-1, mot leverandørens dokumentasjon. Antall påvirker trykktap bare når K per kobling er større enn 0.</t>
        </r>
      </text>
    </comment>
    <comment ref="E18" authorId="0">
      <text>
        <r>
          <rPr>
            <sz val="10"/>
            <rFont val="Arial"/>
            <family val="2"/>
          </rPr>
          <t xml:space="preserve">K=0 er en idealisert kobling med lik diameter, full lysåpning og uten utstikkende pakning. Bruk dokumentert K ved innsnevring/avvik, med referanse til hastigheten i denne rørstrekningen. Alternativt registreres trykkfall i Komponenter, ikke begge steder.</t>
        </r>
      </text>
    </comment>
    <comment ref="E24" authorId="0">
      <text>
        <r>
          <rPr>
            <sz val="10"/>
            <rFont val="Arial"/>
            <family val="2"/>
          </rPr>
          <t xml:space="preserve">Dynamisk viskositet i mPa·s = cP. 1 Pa·s = 1000 mPa·s. Ikke legg inn kinematisk viskositet (cSt) her.</t>
        </r>
      </text>
    </comment>
    <comment ref="E25" authorId="0">
      <text>
        <r>
          <rPr>
            <sz val="10"/>
            <rFont val="Arial"/>
            <family val="2"/>
          </rPr>
          <t xml:space="preserve">Volumstrømmen er nødvendig for hastighet, Reynolds-tall og trykktap. Modellen bruker samme volumstrøm langs hele strekningen.</t>
        </r>
      </text>
    </comment>
    <comment ref="E29" authorId="0">
      <text>
        <r>
          <rPr>
            <sz val="10"/>
            <rFont val="Arial"/>
            <family val="2"/>
          </rPr>
          <t xml:space="preserve">Oppgi totale rette rørmeter, både horisontale og vertikale. Høydefeltene legger ikke til rørfriksjonslengde. Rennels-modellen inkluderer friksjon i den buede delen av bendene.</t>
        </r>
      </text>
    </comment>
    <comment ref="E30" authorId="0">
      <text>
        <r>
          <rPr>
            <sz val="10"/>
            <rFont val="Arial"/>
            <family val="2"/>
          </rPr>
          <t xml:space="preserve">Sum positive vertikale stigninger. Høydebidrag beregnes fra netto opp minus ned.</t>
        </r>
      </text>
    </comment>
    <comment ref="E31" authorId="0">
      <text>
        <r>
          <rPr>
            <sz val="10"/>
            <rFont val="Arial"/>
            <family val="2"/>
          </rPr>
          <t xml:space="preserve">Sum positive vertikale fall. Fall reduserer nødvendig trykkdifferanse; tapene forblir positive.</t>
        </r>
      </text>
    </comment>
    <comment ref="E33" authorId="0">
      <text>
        <r>
          <rPr>
            <sz val="10"/>
            <rFont val="Arial"/>
            <family val="2"/>
          </rPr>
          <t xml:space="preserve">Valgfritt manometertrykk. Utløpstrykk = innløpstrykk − nødvendig differanse, ved lik endehastighet. Kavitasjon/absolutt trykk vurderes ikke.</t>
        </r>
      </text>
    </comment>
  </commentList>
</comments>
</file>

<file path=xl/sharedStrings.xml><?xml version="1.0" encoding="utf-8"?>
<sst xmlns="http://schemas.openxmlformats.org/spreadsheetml/2006/main" count="556" uniqueCount="318">
  <si>
    <t xml:space="preserve">TRYKKBEREGNING AV RØR</t>
  </si>
  <si>
    <t xml:space="preserve">Væsker · én rørstrekning · eksempeldata ved åpning · blå felt er inndata</t>
  </si>
  <si>
    <t xml:space="preserve">1  RØR OG MATERIALE</t>
  </si>
  <si>
    <t xml:space="preserve">RESULTAT  /  Δp</t>
  </si>
  <si>
    <t xml:space="preserve">Rørserie / dimensjonsstandard</t>
  </si>
  <si>
    <t xml:space="preserve">EN 10220 / ISO 4200</t>
  </si>
  <si>
    <t xml:space="preserve">Nødvendig trykkdifferanse  p inn − p ut</t>
  </si>
  <si>
    <t xml:space="preserve">Nominell dimensjon / metrisk OD</t>
  </si>
  <si>
    <t xml:space="preserve">DN80</t>
  </si>
  <si>
    <t xml:space="preserve">Utvendig diameter, brukt</t>
  </si>
  <si>
    <t xml:space="preserve">mm</t>
  </si>
  <si>
    <t xml:space="preserve">Egen utvendig diameter, valgfritt</t>
  </si>
  <si>
    <t xml:space="preserve">Veggtykkelse</t>
  </si>
  <si>
    <t xml:space="preserve">Dissipative tap + ρ · g · (høyde opp − høyde ned)</t>
  </si>
  <si>
    <t xml:space="preserve">Egen innvendig diameter, valgfritt</t>
  </si>
  <si>
    <t xml:space="preserve">Innvendig diameter, brukt</t>
  </si>
  <si>
    <t xml:space="preserve">Dissipativt trykktap</t>
  </si>
  <si>
    <t xml:space="preserve">Materiale</t>
  </si>
  <si>
    <t xml:space="preserve">P235GH – karbonstål</t>
  </si>
  <si>
    <t xml:space="preserve">Høydebidrag, med fortegn</t>
  </si>
  <si>
    <t xml:space="preserve">EN-produktstandard</t>
  </si>
  <si>
    <t xml:space="preserve">EN 10216-2</t>
  </si>
  <si>
    <t xml:space="preserve">Hastighet i røret</t>
  </si>
  <si>
    <t xml:space="preserve">Absolutt ruhet ε, brukt</t>
  </si>
  <si>
    <t xml:space="preserve">Reynolds-tall</t>
  </si>
  <si>
    <t xml:space="preserve">Egen absolutt ruhet, valgfritt</t>
  </si>
  <si>
    <t xml:space="preserve">Strømningsregime</t>
  </si>
  <si>
    <t xml:space="preserve">Antall flensede rørkoblinger</t>
  </si>
  <si>
    <t xml:space="preserve">stk</t>
  </si>
  <si>
    <t xml:space="preserve">Darcy friksjonsfaktor</t>
  </si>
  <si>
    <t xml:space="preserve">K per flenskobling</t>
  </si>
  <si>
    <t xml:space="preserve">–</t>
  </si>
  <si>
    <t xml:space="preserve">Nødvendig trykkhøyde</t>
  </si>
  <si>
    <t xml:space="preserve">2  MEDIUM OG VOLUMSTRØM</t>
  </si>
  <si>
    <t xml:space="preserve">Beregnet utløpstrykk</t>
  </si>
  <si>
    <t xml:space="preserve">Medium / temperaturreferanse</t>
  </si>
  <si>
    <t xml:space="preserve">Vann 20 °C</t>
  </si>
  <si>
    <t xml:space="preserve">Tetthet ρ, brukt</t>
  </si>
  <si>
    <t xml:space="preserve">kg/m³</t>
  </si>
  <si>
    <t xml:space="preserve">KONTROLL AV INNDATA OG MODELL</t>
  </si>
  <si>
    <t xml:space="preserve">Dynamisk viskositet μ, brukt</t>
  </si>
  <si>
    <t xml:space="preserve">mPa·s</t>
  </si>
  <si>
    <t xml:space="preserve">Egen tetthet, valgfritt</t>
  </si>
  <si>
    <t xml:space="preserve">Egen dynamisk viskositet, valgfritt</t>
  </si>
  <si>
    <t xml:space="preserve">Volumstrøm Q</t>
  </si>
  <si>
    <t xml:space="preserve">m³/h</t>
  </si>
  <si>
    <t xml:space="preserve">Kinematisk viskositet ν, brukt</t>
  </si>
  <si>
    <t xml:space="preserve">mm²/s</t>
  </si>
  <si>
    <t xml:space="preserve">3  RØRLENGDE OG HØYDEFORSKJELL</t>
  </si>
  <si>
    <t xml:space="preserve">Rette rørmeter L, totalt</t>
  </si>
  <si>
    <t xml:space="preserve">m</t>
  </si>
  <si>
    <t xml:space="preserve">Høydemeter opp</t>
  </si>
  <si>
    <t xml:space="preserve">Høydemeter ned</t>
  </si>
  <si>
    <t xml:space="preserve">Netto høydeforskjell</t>
  </si>
  <si>
    <t xml:space="preserve">Innløpstrykk, valgfritt</t>
  </si>
  <si>
    <t xml:space="preserve">bar(g)</t>
  </si>
  <si>
    <t xml:space="preserve">4  LEGG TIL KOMPONENTER I EGNE FANER</t>
  </si>
  <si>
    <t xml:space="preserve">Bend, Y- og T-stykker →</t>
  </si>
  <si>
    <t xml:space="preserve">Ventiler: antall og Δp per ventil →</t>
  </si>
  <si>
    <t xml:space="preserve">Andre komponenter: antall og Δp →</t>
  </si>
  <si>
    <t xml:space="preserve">MODELL: Newtonsk, inkompressibel væske; konstant diameter og volumstrøm. Darcy–Weisbach + Colebrook (laminært: 64/Re). Hydraulikk, ikke mekanisk trykklasse. Se Veiledning for forutsetninger og kilder.</t>
  </si>
  <si>
    <t xml:space="preserve">BEND, Y-STYKKER OG T-STYKKER</t>
  </si>
  <si>
    <t xml:space="preserve">25 rader kan kombineres. Antall 0 betyr at raden ikke er med.</t>
  </si>
  <si>
    <t xml:space="preserve">Bend: velg type og vinkel. R/Di kan overstyres (tomt = 1,5 for lang radius og 1,0 for kort). Eget K overstyrer modellen.</t>
  </si>
  <si>
    <t xml:space="preserve">Y/T-stykker og egne komponenter krever dokumentert K. K må referere til hastigheten i den valgte rørstrekningen. Ingen automatisk nettverksfordeling.</t>
  </si>
  <si>
    <t xml:space="preserve">Type</t>
  </si>
  <si>
    <t xml:space="preserve">Vinkel [°]</t>
  </si>
  <si>
    <t xml:space="preserve">Antall</t>
  </si>
  <si>
    <t xml:space="preserve">Eget R/Di</t>
  </si>
  <si>
    <t xml:space="preserve">K, modell</t>
  </si>
  <si>
    <t xml:space="preserve">Eget K</t>
  </si>
  <si>
    <t xml:space="preserve">K, brukt</t>
  </si>
  <si>
    <t xml:space="preserve">Δp per enhet [kPa]</t>
  </si>
  <si>
    <t xml:space="preserve">Δp totalt [kPa]</t>
  </si>
  <si>
    <t xml:space="preserve">Kontroll</t>
  </si>
  <si>
    <t xml:space="preserve">Datakilde / kommentar</t>
  </si>
  <si>
    <t xml:space="preserve">Bend, lang radius</t>
  </si>
  <si>
    <t xml:space="preserve">T-stykke, gjennomløp</t>
  </si>
  <si>
    <t xml:space="preserve">Y-stykke, avgrening</t>
  </si>
  <si>
    <t xml:space="preserve">Bend, kort radius</t>
  </si>
  <si>
    <t xml:space="preserve">SUM TRYKKTAP FRA BEND OG LOKALE MOTSTANDER</t>
  </si>
  <si>
    <t xml:space="preserve">Rennels-modellen er et estimat for rundede bend ved turbulent strømning. R/Di betyr bendets senterlinjeradius delt på faktisk innvendig diameter; en produsentverdi R/DN må omregnes. Modellen inkluderer friksjon i buen, så denne lengden skal ikke legges til rette rørmeter. Bruk leverandørens K ved annen geometri eller lave Reynolds-tall.</t>
  </si>
  <si>
    <t xml:space="preserve">VENTILER – ANTALL OG TRYKKFALL</t>
  </si>
  <si>
    <t xml:space="preserve">Trykkfall skal være oppgitt ved volumstrømmen og driftsbetingelsene i hovedfanen.</t>
  </si>
  <si>
    <t xml:space="preserve">Fyll inn antall og trykkfall PER ENHET i kPa. 1 bar = 100 kPa. Trykkfallene summeres som antall × Δp per enhet.</t>
  </si>
  <si>
    <t xml:space="preserve">Verdiene skaleres ikke automatisk når volumstrømmen endres. Oppdater dem fra leverandørdata. Antall 0 utelater raden.</t>
  </si>
  <si>
    <t xml:space="preserve">Ventil / komponent</t>
  </si>
  <si>
    <t xml:space="preserve">Kuleventil</t>
  </si>
  <si>
    <t xml:space="preserve">Reguleringsventil</t>
  </si>
  <si>
    <t xml:space="preserve">Tilbakeslagsventil</t>
  </si>
  <si>
    <t xml:space="preserve">Spjeldventil</t>
  </si>
  <si>
    <t xml:space="preserve">Sluseventil</t>
  </si>
  <si>
    <t xml:space="preserve">SUM TRYKKTAP</t>
  </si>
  <si>
    <t xml:space="preserve">Registrer hver fysisk komponent én gang. En ventil som er lagt inn med trykkfall her, skal ikke i tillegg registreres som K-motstand i Bend-fanen.</t>
  </si>
  <si>
    <t xml:space="preserve">ANDRE KOMPONENTER – TRYKKFALL</t>
  </si>
  <si>
    <t xml:space="preserve">Filter</t>
  </si>
  <si>
    <t xml:space="preserve">Varmeveksler</t>
  </si>
  <si>
    <t xml:space="preserve">Mengdemåler</t>
  </si>
  <si>
    <t xml:space="preserve">Sil</t>
  </si>
  <si>
    <t xml:space="preserve">Annen komponent</t>
  </si>
  <si>
    <t xml:space="preserve">SLIK BRUKER DU ARKET</t>
  </si>
  <si>
    <t xml:space="preserve">Makrofri Excel-arbeidsbok · enheter og forutsetninger er en del av beregningen.</t>
  </si>
  <si>
    <t xml:space="preserve">1. Rør og materiale</t>
  </si>
  <si>
    <t xml:space="preserve">Velg rørserie, DN/OD, materiale og EN-produktstandard. Oppgi faktisk veggtykkelse. Ved kjent lysåpning kan du overstyre ID. Metrisk OD er ikke en automatisk material- eller veggserie. En svart/grå verdi er beregnet; blå felt er inndata.</t>
  </si>
  <si>
    <t xml:space="preserve">2. Væske og drift</t>
  </si>
  <si>
    <t xml:space="preserve">Velg vann ved referansetemperatur eller annet medium. Overstyr tetthet og dynamisk viskositet ved faktisk drift. Viskositeten skal være i mPa·s (cP), ikke cSt. Volumstrøm angis i m³/h. Vann er standard; arket gjelder ikke gass eller damp.</t>
  </si>
  <si>
    <t xml:space="preserve">3. Lengde og høyde</t>
  </si>
  <si>
    <t xml:space="preserve">Rette rørmeter L er samlet rett rørlengde, både horisontal og vertikal. Høydefeltene legger ikke til rørfriksjonslengde. Oppgi positive høydemeter opp og ned. Netto høyde er opp minus ned. Fall reduserer nødvendig trykkdifferanse, men ikke dissipative tap. Arket løser ikke strømning fra tilgjengelig trykk; volumstrømmen er en inndata.</t>
  </si>
  <si>
    <t xml:space="preserve">4. Bend / Y / T</t>
  </si>
  <si>
    <t xml:space="preserve">Legg hver bendtype/vinkel på egen rad. R/Di er faktisk senterlinjeradius delt på innvendig diameter, ikke R/DN. Rundede bend bruker Rennels ved Re&gt;=4000; eget K overstyrer. Y/T og annen geometri krever eget dokumentert K, fordi fordeling og strømningsvei påvirker motstanden. Maksimalt 25 rader.</t>
  </si>
  <si>
    <t xml:space="preserve">Flensede rørkoblinger</t>
  </si>
  <si>
    <t xml:space="preserve">I hovedfanen angis antall flensepar med pakning og K per kobling. K=0 forutsetter ideell full lysåpning uten innsnevring eller utstikkende pakning; flensen i seg selv gir da ikke et separat lokalt tap. Bruk dokumentert K ved avvik, eller registrer dokumentert trykkfall i Komponenter uten dobbelttelling. Flensens EN-standard/trykklasse, f.eks. EN 1092-1, inngår ikke i den hydrauliske beregningen.</t>
  </si>
  <si>
    <t xml:space="preserve">5. Ventiler og komponenter</t>
  </si>
  <si>
    <t xml:space="preserve">Velg antall og trykkfall per enhet i kPa i hver tabell. Trykkfall multipliseres med antall. Verdien skal gjelde den valgte volumstrømmen og åpningen/driftsbetingelsen. Den endres ikke automatisk med volumstrøm. Registrer ikke samme komponent også som K. Maksimalt 25 rader per tabell.</t>
  </si>
  <si>
    <t xml:space="preserve">6. Resultater</t>
  </si>
  <si>
    <t xml:space="preserve">Nødvendig trykkdifferanse = rørfriksjon + bendtap + ventiltap + øvrige tap + ρgΔz. Negativ verdi beholdes. Valgfritt innløpstrykk gir beregnet utløpstrykk. Beregningen forutsetter lik hastighet ved endene. Kontrollfeltet må vise OK; ved ugyldige aktive rader blir totalresultatet tomt.</t>
  </si>
  <si>
    <t xml:space="preserve">7. Modellgrenser</t>
  </si>
  <si>
    <t xml:space="preserve">Stasjonær, enfaset, Newtonsk og inkompressibel væske; én konstant diameter og volumstrøm; fullt utviklet rørstrømning. Re&lt;2300 bruker 64/Re, Re&gt;=4000 Colebrook. 2300&lt;=Re&lt;4000 blokkeres som overgangsområde. Rundede bends automatiske modell blokkeres ved 0&lt;Re&lt;4000; dokumentert eget K kan brukes. Ingen kavitasjons-, transient-, pumpekurve- eller nettverksberegning.</t>
  </si>
  <si>
    <t xml:space="preserve">8. Normer og datakvalitet</t>
  </si>
  <si>
    <t xml:space="preserve">EN/ISO-valgene er normreferanser og et begrenset dimensjonsutvalg, ikke samsvarsgodkjenning. Ruhet er et startanslag, ikke en materialgaranti. Arbeidsboken beregner hydraulisk trykktap; den beregner ikke tillatt arbeidstrykk eller veggtykkelse iht. EN 13480. Verifiser faktisk geometri og produktdata.</t>
  </si>
  <si>
    <t xml:space="preserve">Darcy–Weisbach / Colebrook</t>
  </si>
  <si>
    <t xml:space="preserve">Δp_rør = f(L/D)ρv²/2; Re=ρvD/μ; v=4Q/(πD²). Turbulent: 1/√f = −2 log10(ε/(3,7D)+2,51/(Re√f)). Seks iterasjoner fra Haaland. Laminært: f=64/Re. g=9,80665 m/s². Colebrook, C. F. (1939), Turbulent Flow in Pipes, with Particular Reference to the Transition Region between the Smooth and Rough Pipe Laws.</t>
  </si>
  <si>
    <t xml:space="preserve">Rennels, rundet bend</t>
  </si>
  <si>
    <t xml:space="preserve">α i radianer, r=R/Di: K=fαr+(0,10+2,4f)sin(α/2)+6,6f[√sin(α/2)+sin(α/2)]/r^(4α/π). Modellen inkluderer friksjon i den buede rørlengden. Rennels &amp; Hudson, Pipe Flow: A Practical and Comprehensive Guide, Wiley (2012). Koden er kontrollert mot den offentlig dokumenterte implementasjonen i fluids.fittings.bend_rounded.</t>
  </si>
  <si>
    <t xml:space="preserve">Referanser / etterprøving</t>
  </si>
  <si>
    <t xml:space="preserve">Normreferanser: EN 10220, ISO 4200, ISO 1127; relevante deler av EN 10216 og EN 10217; EN 10088-1 for rustfrie materialbetegnelser. Vann: avrundede standard tabellverdier (IAPWS); ISO VG 32: nominell viskositetsklasse iht. ISO 3448. Oppslagsarkene viser alle verdier brukt; testskriptet kontrollerer også uavhengig Colebrook-løsning og laminær Poiseuille.</t>
  </si>
  <si>
    <t xml:space="preserve">Dokumentert referanseimplementasjon: fluids / fittings.py</t>
  </si>
  <si>
    <t xml:space="preserve">RØRSERIER OG DIMENSJONER</t>
  </si>
  <si>
    <t xml:space="preserve">Utvalg vanlige ytre diametre. DN er nominelt; innvendig diameter krever veggtykkelse eller egen verdi.</t>
  </si>
  <si>
    <t xml:space="preserve">Oppslagsnøkkel</t>
  </si>
  <si>
    <t xml:space="preserve">Rørserie</t>
  </si>
  <si>
    <t xml:space="preserve">DN / OD</t>
  </si>
  <si>
    <t xml:space="preserve">Ytre diameter [mm]</t>
  </si>
  <si>
    <t xml:space="preserve">Merknad / normreferanse</t>
  </si>
  <si>
    <t xml:space="preserve">EN 10220 / ISO 4200|DN15</t>
  </si>
  <si>
    <t xml:space="preserve">DN15</t>
  </si>
  <si>
    <t xml:space="preserve">Vanlig OD-utvalg, ikke komplett normtabell. Kontroller mot rørsertifikat og aktuell normutgave.</t>
  </si>
  <si>
    <t xml:space="preserve">EN 10220 / ISO 4200|DN20</t>
  </si>
  <si>
    <t xml:space="preserve">DN20</t>
  </si>
  <si>
    <t xml:space="preserve">EN 10220 / ISO 4200|DN25</t>
  </si>
  <si>
    <t xml:space="preserve">DN25</t>
  </si>
  <si>
    <t xml:space="preserve">EN 10220 / ISO 4200|DN32</t>
  </si>
  <si>
    <t xml:space="preserve">DN32</t>
  </si>
  <si>
    <t xml:space="preserve">EN 10220 / ISO 4200|DN40</t>
  </si>
  <si>
    <t xml:space="preserve">DN40</t>
  </si>
  <si>
    <t xml:space="preserve">EN 10220 / ISO 4200|DN50</t>
  </si>
  <si>
    <t xml:space="preserve">DN50</t>
  </si>
  <si>
    <t xml:space="preserve">EN 10220 / ISO 4200|DN65</t>
  </si>
  <si>
    <t xml:space="preserve">DN65</t>
  </si>
  <si>
    <t xml:space="preserve">EN 10220 / ISO 4200|DN80</t>
  </si>
  <si>
    <t xml:space="preserve">EN 10220 / ISO 4200|DN100</t>
  </si>
  <si>
    <t xml:space="preserve">DN100</t>
  </si>
  <si>
    <t xml:space="preserve">EN 10220 / ISO 4200|DN125</t>
  </si>
  <si>
    <t xml:space="preserve">DN125</t>
  </si>
  <si>
    <t xml:space="preserve">EN 10220 / ISO 4200|DN150</t>
  </si>
  <si>
    <t xml:space="preserve">DN150</t>
  </si>
  <si>
    <t xml:space="preserve">EN 10220 / ISO 4200|DN200</t>
  </si>
  <si>
    <t xml:space="preserve">DN200</t>
  </si>
  <si>
    <t xml:space="preserve">EN 10220 / ISO 4200|DN250</t>
  </si>
  <si>
    <t xml:space="preserve">DN250</t>
  </si>
  <si>
    <t xml:space="preserve">EN 10220 / ISO 4200|DN300</t>
  </si>
  <si>
    <t xml:space="preserve">DN300</t>
  </si>
  <si>
    <t xml:space="preserve">ISO 1127|DN15</t>
  </si>
  <si>
    <t xml:space="preserve">ISO 1127</t>
  </si>
  <si>
    <t xml:space="preserve">ISO 1127|DN20</t>
  </si>
  <si>
    <t xml:space="preserve">ISO 1127|DN25</t>
  </si>
  <si>
    <t xml:space="preserve">ISO 1127|DN32</t>
  </si>
  <si>
    <t xml:space="preserve">ISO 1127|DN40</t>
  </si>
  <si>
    <t xml:space="preserve">ISO 1127|DN50</t>
  </si>
  <si>
    <t xml:space="preserve">ISO 1127|DN65</t>
  </si>
  <si>
    <t xml:space="preserve">ISO 1127|DN80</t>
  </si>
  <si>
    <t xml:space="preserve">ISO 1127|DN100</t>
  </si>
  <si>
    <t xml:space="preserve">ISO 1127|DN125</t>
  </si>
  <si>
    <t xml:space="preserve">ISO 1127|DN150</t>
  </si>
  <si>
    <t xml:space="preserve">ISO 1127|DN200</t>
  </si>
  <si>
    <t xml:space="preserve">ISO 1127|DN250</t>
  </si>
  <si>
    <t xml:space="preserve">ISO 1127|DN300</t>
  </si>
  <si>
    <t xml:space="preserve">Metrisk OD|OD20</t>
  </si>
  <si>
    <t xml:space="preserve">Metrisk OD</t>
  </si>
  <si>
    <t xml:space="preserve">OD20</t>
  </si>
  <si>
    <t xml:space="preserve">Metrisk OD-valg i mm; ingen produktstandard eller veggserie er implisert.</t>
  </si>
  <si>
    <t xml:space="preserve">Metrisk OD|OD25</t>
  </si>
  <si>
    <t xml:space="preserve">OD25</t>
  </si>
  <si>
    <t xml:space="preserve">Metrisk OD|OD32</t>
  </si>
  <si>
    <t xml:space="preserve">OD32</t>
  </si>
  <si>
    <t xml:space="preserve">Metrisk OD|OD40</t>
  </si>
  <si>
    <t xml:space="preserve">OD40</t>
  </si>
  <si>
    <t xml:space="preserve">Metrisk OD|OD50</t>
  </si>
  <si>
    <t xml:space="preserve">OD50</t>
  </si>
  <si>
    <t xml:space="preserve">Metrisk OD|OD63</t>
  </si>
  <si>
    <t xml:space="preserve">OD63</t>
  </si>
  <si>
    <t xml:space="preserve">Metrisk OD|OD75</t>
  </si>
  <si>
    <t xml:space="preserve">OD75</t>
  </si>
  <si>
    <t xml:space="preserve">Metrisk OD|OD90</t>
  </si>
  <si>
    <t xml:space="preserve">OD90</t>
  </si>
  <si>
    <t xml:space="preserve">Metrisk OD|OD110</t>
  </si>
  <si>
    <t xml:space="preserve">OD110</t>
  </si>
  <si>
    <t xml:space="preserve">Metrisk OD|OD125</t>
  </si>
  <si>
    <t xml:space="preserve">OD125</t>
  </si>
  <si>
    <t xml:space="preserve">Metrisk OD|OD140</t>
  </si>
  <si>
    <t xml:space="preserve">OD140</t>
  </si>
  <si>
    <t xml:space="preserve">Metrisk OD|OD160</t>
  </si>
  <si>
    <t xml:space="preserve">OD160</t>
  </si>
  <si>
    <t xml:space="preserve">Metrisk OD|OD180</t>
  </si>
  <si>
    <t xml:space="preserve">OD180</t>
  </si>
  <si>
    <t xml:space="preserve">Metrisk OD|OD200</t>
  </si>
  <si>
    <t xml:space="preserve">OD200</t>
  </si>
  <si>
    <t xml:space="preserve">Metrisk OD|OD225</t>
  </si>
  <si>
    <t xml:space="preserve">OD225</t>
  </si>
  <si>
    <t xml:space="preserve">Metrisk OD|OD250</t>
  </si>
  <si>
    <t xml:space="preserve">OD250</t>
  </si>
  <si>
    <t xml:space="preserve">Metrisk OD|OD280</t>
  </si>
  <si>
    <t xml:space="preserve">OD280</t>
  </si>
  <si>
    <t xml:space="preserve">Metrisk OD|OD315</t>
  </si>
  <si>
    <t xml:space="preserve">OD315</t>
  </si>
  <si>
    <t xml:space="preserve">MATERIALER OG EN-PRODUKTSTANDARDER</t>
  </si>
  <si>
    <t xml:space="preserve">Produktstandard velges separat. Ingen beregning av tillatt arbeidstrykk, spenninger eller godstykkelse.</t>
  </si>
  <si>
    <t xml:space="preserve">Materialvalg</t>
  </si>
  <si>
    <t xml:space="preserve">Materialbetegnelse</t>
  </si>
  <si>
    <t xml:space="preserve">Ruhet, startanslag [mm]</t>
  </si>
  <si>
    <t xml:space="preserve">Tillatte valg i denne malen</t>
  </si>
  <si>
    <t xml:space="preserve">Beskrivelse</t>
  </si>
  <si>
    <t xml:space="preserve">P235GH</t>
  </si>
  <si>
    <t xml:space="preserve">|EN 10216-2|EN 10217-2|EN 10217-5|</t>
  </si>
  <si>
    <t xml:space="preserve">Sømløst/sveiset trykkrør for forhøyet temperatur.</t>
  </si>
  <si>
    <t xml:space="preserve">P265GH – karbonstål</t>
  </si>
  <si>
    <t xml:space="preserve">P265GH</t>
  </si>
  <si>
    <t xml:space="preserve">P235TR2 – karbonstål</t>
  </si>
  <si>
    <t xml:space="preserve">P235TR2</t>
  </si>
  <si>
    <t xml:space="preserve">|EN 10216-1|EN 10217-1|</t>
  </si>
  <si>
    <t xml:space="preserve">Trykkrør med spesifiserte egenskaper ved romtemperatur.</t>
  </si>
  <si>
    <t xml:space="preserve">1.4307 / 304L – rustfritt</t>
  </si>
  <si>
    <t xml:space="preserve">X2CrNi18-9 / 1.4307</t>
  </si>
  <si>
    <t xml:space="preserve">|EN 10216-5|EN 10217-7|</t>
  </si>
  <si>
    <t xml:space="preserve">Austenittisk rustfritt trykkrør; EN 10088-1 materialbetegnelse.</t>
  </si>
  <si>
    <t xml:space="preserve">1.4404 / 316L – rustfritt</t>
  </si>
  <si>
    <t xml:space="preserve">X2CrNiMo17-12-2 / 1.4404</t>
  </si>
  <si>
    <t xml:space="preserve">1.4462 / 2205 – duplex</t>
  </si>
  <si>
    <t xml:space="preserve">X2CrNiMoN22-5-3 / 1.4462</t>
  </si>
  <si>
    <t xml:space="preserve">Duplex trykkrør; EN 10088-1 materialbetegnelse.</t>
  </si>
  <si>
    <t xml:space="preserve">Ruhet er et generelt startanslag, ikke en egenskap garantert av EN-standarden. Overstyr med dokumentert ruhet for faktisk overflate, sveiser, belegg og aldring.</t>
  </si>
  <si>
    <t xml:space="preserve">EN 10216: sømløse trykkrør. EN 10217: sveisede trykkrør. Relevant del og materialkvalitet må bekreftes mot leverandørens dokumentasjon. «Annen / dokumentert» tillater et særskilt dokumentert valg.</t>
  </si>
  <si>
    <t xml:space="preserve">MEDIER OG REFERANSEVERDIER</t>
  </si>
  <si>
    <t xml:space="preserve">Tetthet og dynamisk viskositet ved angitt temperatur; overstyr ved faktisk driftsbetingelse.</t>
  </si>
  <si>
    <t xml:space="preserve">Medium</t>
  </si>
  <si>
    <t xml:space="preserve">Tetthet [kg/m³]</t>
  </si>
  <si>
    <t xml:space="preserve">Dynamisk viskositet [mPa·s]</t>
  </si>
  <si>
    <t xml:space="preserve">Betingelser / merknad</t>
  </si>
  <si>
    <t xml:space="preserve">Vann 5 °C</t>
  </si>
  <si>
    <t xml:space="preserve">Omtrentlige verdier ved atmosfæretrykk.</t>
  </si>
  <si>
    <t xml:space="preserve">Vann 40 °C</t>
  </si>
  <si>
    <t xml:space="preserve">Vann 60 °C</t>
  </si>
  <si>
    <t xml:space="preserve">Vann 80 °C</t>
  </si>
  <si>
    <t xml:space="preserve">Olje ISO VG 32, 40 °C</t>
  </si>
  <si>
    <t xml:space="preserve">Nominell ν=32 mm²/s; antatt ρ=850 kg/m³. Bruk leverandørdata.</t>
  </si>
  <si>
    <t xml:space="preserve">Eget medium</t>
  </si>
  <si>
    <t xml:space="preserve">Begge egenskaper må fylles inn i feltene for egne verdier.</t>
  </si>
  <si>
    <t xml:space="preserve">Vannverdiene er avrundede referanseverdier i tråd med vanlige tabeller basert på IAPWS. De er ikke en implementasjon av temperatur- og trykkavhengige tilstandsligninger. VG 32 angir nominell kinematisk viskositet ved 40 °C, ikke en universell oljeegenskap.</t>
  </si>
  <si>
    <t xml:space="preserve">BEREGNINGSGRUNNLAG</t>
  </si>
  <si>
    <t xml:space="preserve">Kontroll av grunninndata</t>
  </si>
  <si>
    <t xml:space="preserve">Samlet beregningsstatus</t>
  </si>
  <si>
    <t xml:space="preserve">Tyngdeakselerasjon g</t>
  </si>
  <si>
    <t xml:space="preserve">m/s²</t>
  </si>
  <si>
    <t xml:space="preserve">m³/s</t>
  </si>
  <si>
    <t xml:space="preserve">Innvendig diameter D</t>
  </si>
  <si>
    <t xml:space="preserve">Dynamisk viskositet μ</t>
  </si>
  <si>
    <t xml:space="preserve">Pa·s</t>
  </si>
  <si>
    <t xml:space="preserve">Tetthet ρ</t>
  </si>
  <si>
    <t xml:space="preserve">Absolutt ruhet ε</t>
  </si>
  <si>
    <t xml:space="preserve">Tverrsnittsareal A</t>
  </si>
  <si>
    <t xml:space="preserve">m²</t>
  </si>
  <si>
    <t xml:space="preserve">Gjennomsnittshastighet v</t>
  </si>
  <si>
    <t xml:space="preserve">m/s</t>
  </si>
  <si>
    <t xml:space="preserve">Relativ ruhet ε/D</t>
  </si>
  <si>
    <t xml:space="preserve">Startverdi f (Haaland / 64/Re)</t>
  </si>
  <si>
    <t xml:space="preserve">Colebrook-iterasjon 1</t>
  </si>
  <si>
    <t xml:space="preserve">Colebrook-iterasjon 2</t>
  </si>
  <si>
    <t xml:space="preserve">Colebrook-iterasjon 3</t>
  </si>
  <si>
    <t xml:space="preserve">Colebrook-iterasjon 4</t>
  </si>
  <si>
    <t xml:space="preserve">Colebrook-iterasjon 5</t>
  </si>
  <si>
    <t xml:space="preserve">Colebrook-iterasjon 6</t>
  </si>
  <si>
    <t xml:space="preserve">Darcy friksjonsfaktor f</t>
  </si>
  <si>
    <t xml:space="preserve">Dynamisk trykk ρv²/2</t>
  </si>
  <si>
    <t xml:space="preserve">Pa</t>
  </si>
  <si>
    <t xml:space="preserve">Rørfriksjon</t>
  </si>
  <si>
    <t xml:space="preserve">Bidrag</t>
  </si>
  <si>
    <t xml:space="preserve">bar</t>
  </si>
  <si>
    <t xml:space="preserve">Bend og lokale K-motstander</t>
  </si>
  <si>
    <t xml:space="preserve">Ventiler</t>
  </si>
  <si>
    <t xml:space="preserve">Bend / K</t>
  </si>
  <si>
    <t xml:space="preserve">Andre komponenter</t>
  </si>
  <si>
    <t xml:space="preserve">Flensede koblinger</t>
  </si>
  <si>
    <t xml:space="preserve">Flenskoblinger</t>
  </si>
  <si>
    <t xml:space="preserve">Høydebidrag</t>
  </si>
  <si>
    <t xml:space="preserve">Statisk høydebidrag</t>
  </si>
  <si>
    <t xml:space="preserve">Nødvendig trykkdifferanse</t>
  </si>
  <si>
    <t xml:space="preserve">Colebrook-residual</t>
  </si>
  <si>
    <t xml:space="preserve">Rorserier</t>
  </si>
  <si>
    <t xml:space="preserve">NominelleDN</t>
  </si>
  <si>
    <t xml:space="preserve">MetriskeOD</t>
  </si>
  <si>
    <t xml:space="preserve">ENStandarder</t>
  </si>
  <si>
    <t xml:space="preserve">Medievalg</t>
  </si>
  <si>
    <t xml:space="preserve">Bendtyper</t>
  </si>
  <si>
    <t xml:space="preserve">EN 10216-1</t>
  </si>
  <si>
    <t xml:space="preserve">Rennels: rundet bend. Startanslag R/Di=1,5; oppgi faktisk radiusforhold.</t>
  </si>
  <si>
    <t xml:space="preserve">EN 10217-1</t>
  </si>
  <si>
    <t xml:space="preserve">Rennels: rundet bend. Startanslag R/Di=1,0; oppgi faktisk radiusforhold.</t>
  </si>
  <si>
    <t xml:space="preserve">Y-stykke, gjennomløp</t>
  </si>
  <si>
    <t xml:space="preserve">Oppgi dokumentert K for valgt strømningsvei og fordeling.</t>
  </si>
  <si>
    <t xml:space="preserve">EN 10217-2</t>
  </si>
  <si>
    <t xml:space="preserve">EN 10217-5</t>
  </si>
  <si>
    <t xml:space="preserve">EN 10216-5</t>
  </si>
  <si>
    <t xml:space="preserve">T-stykke, avgrening</t>
  </si>
  <si>
    <t xml:space="preserve">EN 10217-7</t>
  </si>
  <si>
    <t xml:space="preserve">Egen komponent</t>
  </si>
  <si>
    <t xml:space="preserve">Oppgi eget K med referanse til hastigheten i denne rørstrekningen.</t>
  </si>
  <si>
    <t xml:space="preserve">Annen / dokumentert</t>
  </si>
  <si>
    <t xml:space="preserve">Egendefinert</t>
  </si>
</sst>
</file>

<file path=xl/styles.xml><?xml version="1.0" encoding="utf-8"?>
<styleSheet xmlns="http://schemas.openxmlformats.org/spreadsheetml/2006/main">
  <numFmts count="14">
    <numFmt numFmtId="164" formatCode="General"/>
    <numFmt numFmtId="165" formatCode="0.000&quot; bar&quot;"/>
    <numFmt numFmtId="166" formatCode="0.00"/>
    <numFmt numFmtId="167" formatCode="0.000&quot; m/s&quot;"/>
    <numFmt numFmtId="168" formatCode="0.000"/>
    <numFmt numFmtId="169" formatCode="#,##0"/>
    <numFmt numFmtId="170" formatCode="0"/>
    <numFmt numFmtId="171" formatCode="0.00000"/>
    <numFmt numFmtId="172" formatCode="0.000&quot; m væskesøyle&quot;"/>
    <numFmt numFmtId="173" formatCode="0.000&quot; bar(g)&quot;"/>
    <numFmt numFmtId="174" formatCode="0.0000"/>
    <numFmt numFmtId="175" formatCode="0.000&quot; kPa&quot;"/>
    <numFmt numFmtId="176" formatCode="0.0"/>
    <numFmt numFmtId="177" formatCode="0.000000"/>
  </numFmts>
  <fonts count="21">
    <font>
      <sz val="11"/>
      <color theme="1"/>
      <name val="Calibri"/>
      <family val="2"/>
      <charset val="1"/>
    </font>
    <font>
      <sz val="10"/>
      <name val="Arial"/>
      <family val="0"/>
    </font>
    <font>
      <sz val="10"/>
      <name val="Arial"/>
      <family val="0"/>
    </font>
    <font>
      <sz val="10"/>
      <name val="Arial"/>
      <family val="0"/>
    </font>
    <font>
      <b val="true"/>
      <sz val="22"/>
      <color rgb="FFFFFFFF"/>
      <name val="Calibri"/>
      <family val="0"/>
      <charset val="1"/>
    </font>
    <font>
      <sz val="10"/>
      <color rgb="FF617589"/>
      <name val="Calibri"/>
      <family val="0"/>
      <charset val="1"/>
    </font>
    <font>
      <b val="true"/>
      <sz val="12"/>
      <color rgb="FFFFFFFF"/>
      <name val="Calibri"/>
      <family val="0"/>
      <charset val="1"/>
    </font>
    <font>
      <sz val="10"/>
      <color rgb="FF20354C"/>
      <name val="Calibri"/>
      <family val="0"/>
      <charset val="1"/>
    </font>
    <font>
      <sz val="11"/>
      <color rgb="FF086AA5"/>
      <name val="Calibri"/>
      <family val="0"/>
      <charset val="1"/>
    </font>
    <font>
      <sz val="11"/>
      <color rgb="FF617589"/>
      <name val="Calibri"/>
      <family val="0"/>
      <charset val="1"/>
    </font>
    <font>
      <b val="true"/>
      <sz val="30"/>
      <color rgb="FFFFFFFF"/>
      <name val="Calibri"/>
      <family val="0"/>
      <charset val="1"/>
    </font>
    <font>
      <sz val="11"/>
      <color rgb="FF20354C"/>
      <name val="Calibri"/>
      <family val="0"/>
      <charset val="1"/>
    </font>
    <font>
      <b val="true"/>
      <sz val="11"/>
      <color rgb="FF20354C"/>
      <name val="Calibri"/>
      <family val="0"/>
      <charset val="1"/>
    </font>
    <font>
      <b val="true"/>
      <sz val="11"/>
      <color rgb="FFFFFFFF"/>
      <name val="Calibri"/>
      <family val="0"/>
      <charset val="1"/>
    </font>
    <font>
      <b val="true"/>
      <sz val="11"/>
      <color rgb="FF086AA5"/>
      <name val="Calibri"/>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u val="single"/>
      <sz val="11"/>
      <color rgb="FF086AA5"/>
      <name val="Cambria"/>
      <family val="0"/>
      <charset val="1"/>
    </font>
    <font>
      <b val="true"/>
      <sz val="20"/>
      <color rgb="FFFFFFFF"/>
      <name val="Calibri"/>
      <family val="0"/>
      <charset val="1"/>
    </font>
  </fonts>
  <fills count="8">
    <fill>
      <patternFill patternType="none"/>
    </fill>
    <fill>
      <patternFill patternType="gray125"/>
    </fill>
    <fill>
      <patternFill patternType="solid">
        <fgColor rgb="FF142D4E"/>
        <bgColor rgb="FF20354C"/>
      </patternFill>
    </fill>
    <fill>
      <patternFill patternType="solid">
        <fgColor rgb="FF087F8C"/>
        <bgColor rgb="FF008080"/>
      </patternFill>
    </fill>
    <fill>
      <patternFill patternType="solid">
        <fgColor rgb="FFE5F2FF"/>
        <bgColor rgb="FFE1F3EB"/>
      </patternFill>
    </fill>
    <fill>
      <patternFill patternType="solid">
        <fgColor rgb="FFF1F5F9"/>
        <bgColor rgb="FFF9F9F9"/>
      </patternFill>
    </fill>
    <fill>
      <patternFill patternType="solid">
        <fgColor rgb="FFE1F3EB"/>
        <bgColor rgb="FFE5F2FF"/>
      </patternFill>
    </fill>
    <fill>
      <patternFill patternType="solid">
        <fgColor rgb="FFFFF0CE"/>
        <bgColor rgb="FFFFE5E5"/>
      </patternFill>
    </fill>
  </fills>
  <borders count="2">
    <border diagonalUp="false" diagonalDown="false">
      <left/>
      <right/>
      <top/>
      <bottom/>
      <diagonal/>
    </border>
    <border diagonalUp="false" diagonalDown="false">
      <left/>
      <right/>
      <top/>
      <bottom style="thin">
        <color rgb="FFD6E1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3" borderId="0" xfId="0" applyFont="true" applyBorder="true" applyAlignment="true" applyProtection="false">
      <alignment horizontal="general" vertical="center" textRotation="0" wrapText="tru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true">
      <alignment horizontal="general" vertical="center" textRotation="0" wrapText="true" indent="0" shrinkToFit="false"/>
      <protection locked="false" hidden="false"/>
    </xf>
    <xf numFmtId="164" fontId="9" fillId="0" borderId="0" xfId="0" applyFont="true" applyBorder="true" applyAlignment="true" applyProtection="false">
      <alignment horizontal="general" vertical="center" textRotation="0" wrapText="true" indent="0" shrinkToFit="false"/>
      <protection locked="true" hidden="false"/>
    </xf>
    <xf numFmtId="165" fontId="10" fillId="3" borderId="0" xfId="0" applyFont="true" applyBorder="true" applyAlignment="true" applyProtection="false">
      <alignment horizontal="general" vertical="center" textRotation="0" wrapText="true" indent="0" shrinkToFit="false"/>
      <protection locked="true" hidden="false"/>
    </xf>
    <xf numFmtId="166" fontId="11" fillId="5" borderId="1" xfId="0" applyFont="true" applyBorder="true" applyAlignment="true" applyProtection="false">
      <alignment horizontal="general" vertical="center" textRotation="0" wrapText="true" indent="0" shrinkToFit="false"/>
      <protection locked="true" hidden="false"/>
    </xf>
    <xf numFmtId="164" fontId="11" fillId="5" borderId="1" xfId="0" applyFont="true" applyBorder="true" applyAlignment="true" applyProtection="false">
      <alignment horizontal="general" vertical="center" textRotation="0" wrapText="false" indent="1" shrinkToFit="false"/>
      <protection locked="true" hidden="false"/>
    </xf>
    <xf numFmtId="166" fontId="8" fillId="4" borderId="1" xfId="0" applyFont="true" applyBorder="true" applyAlignment="true" applyProtection="true">
      <alignment horizontal="general" vertical="center" textRotation="0" wrapText="true" indent="0" shrinkToFit="false"/>
      <protection locked="false" hidden="false"/>
    </xf>
    <xf numFmtId="165" fontId="12" fillId="5" borderId="0" xfId="0" applyFont="true" applyBorder="true" applyAlignment="true" applyProtection="false">
      <alignment horizontal="general" vertical="center" textRotation="0" wrapText="true" indent="0" shrinkToFit="false"/>
      <protection locked="true" hidden="false"/>
    </xf>
    <xf numFmtId="167" fontId="12" fillId="5" borderId="0" xfId="0" applyFont="true" applyBorder="true" applyAlignment="true" applyProtection="false">
      <alignment horizontal="general" vertical="center" textRotation="0" wrapText="true" indent="0" shrinkToFit="false"/>
      <protection locked="true" hidden="false"/>
    </xf>
    <xf numFmtId="168" fontId="11" fillId="5" borderId="1" xfId="0" applyFont="true" applyBorder="true" applyAlignment="true" applyProtection="false">
      <alignment horizontal="general" vertical="center" textRotation="0" wrapText="true" indent="0" shrinkToFit="false"/>
      <protection locked="true" hidden="false"/>
    </xf>
    <xf numFmtId="169" fontId="12" fillId="5" borderId="0" xfId="0" applyFont="true" applyBorder="true" applyAlignment="true" applyProtection="false">
      <alignment horizontal="general" vertical="center" textRotation="0" wrapText="true" indent="0" shrinkToFit="false"/>
      <protection locked="true" hidden="false"/>
    </xf>
    <xf numFmtId="168" fontId="8" fillId="4" borderId="1" xfId="0" applyFont="true" applyBorder="true" applyAlignment="true" applyProtection="true">
      <alignment horizontal="general" vertical="center" textRotation="0" wrapText="true" indent="0" shrinkToFit="false"/>
      <protection locked="false" hidden="false"/>
    </xf>
    <xf numFmtId="164" fontId="12" fillId="5" borderId="0" xfId="0" applyFont="true" applyBorder="true" applyAlignment="true" applyProtection="false">
      <alignment horizontal="general" vertical="center" textRotation="0" wrapText="true" indent="0" shrinkToFit="false"/>
      <protection locked="true" hidden="false"/>
    </xf>
    <xf numFmtId="170" fontId="8" fillId="4" borderId="1" xfId="0" applyFont="true" applyBorder="true" applyAlignment="true" applyProtection="true">
      <alignment horizontal="general" vertical="center" textRotation="0" wrapText="true" indent="0" shrinkToFit="false"/>
      <protection locked="false" hidden="false"/>
    </xf>
    <xf numFmtId="171" fontId="12" fillId="5" borderId="0" xfId="0" applyFont="true" applyBorder="true" applyAlignment="true" applyProtection="false">
      <alignment horizontal="general" vertical="center" textRotation="0" wrapText="true" indent="0" shrinkToFit="false"/>
      <protection locked="true" hidden="false"/>
    </xf>
    <xf numFmtId="172" fontId="12" fillId="5" borderId="0" xfId="0" applyFont="true" applyBorder="true" applyAlignment="true" applyProtection="false">
      <alignment horizontal="general" vertical="center" textRotation="0" wrapText="true" indent="0" shrinkToFit="false"/>
      <protection locked="true" hidden="false"/>
    </xf>
    <xf numFmtId="173" fontId="12" fillId="5" borderId="0" xfId="0" applyFont="true" applyBorder="true" applyAlignment="true" applyProtection="false">
      <alignment horizontal="general" vertical="center" textRotation="0" wrapText="true" indent="0" shrinkToFit="false"/>
      <protection locked="true" hidden="false"/>
    </xf>
    <xf numFmtId="164" fontId="13" fillId="2" borderId="0" xfId="0" applyFont="true" applyBorder="true" applyAlignment="true" applyProtection="false">
      <alignment horizontal="general" vertical="center" textRotation="0" wrapText="true" indent="0" shrinkToFit="false"/>
      <protection locked="true" hidden="false"/>
    </xf>
    <xf numFmtId="164" fontId="12" fillId="6" borderId="0" xfId="0" applyFont="true" applyBorder="true" applyAlignment="true" applyProtection="false">
      <alignment horizontal="general" vertical="center" textRotation="0" wrapText="true" indent="0" shrinkToFit="false"/>
      <protection locked="true" hidden="false"/>
    </xf>
    <xf numFmtId="164" fontId="13" fillId="3" borderId="0" xfId="0" applyFont="true" applyBorder="true" applyAlignment="true" applyProtection="false">
      <alignment horizontal="general" vertical="center" textRotation="0" wrapText="true" indent="0" shrinkToFit="false"/>
      <protection locked="true" hidden="false"/>
    </xf>
    <xf numFmtId="164" fontId="14" fillId="4" borderId="0" xfId="0" applyFont="true" applyBorder="true" applyAlignment="true" applyProtection="false">
      <alignment horizontal="general" vertical="center" textRotation="0" wrapText="true" indent="0" shrinkToFit="false"/>
      <protection locked="true" hidden="false"/>
    </xf>
    <xf numFmtId="164" fontId="5" fillId="5" borderId="0" xfId="0" applyFont="true" applyBorder="true" applyAlignment="true" applyProtection="false">
      <alignment horizontal="general" vertical="center" textRotation="0" wrapText="true" indent="0" shrinkToFit="false"/>
      <protection locked="true" hidden="false"/>
    </xf>
    <xf numFmtId="164" fontId="7" fillId="4" borderId="0" xfId="0" applyFont="true" applyBorder="true" applyAlignment="true" applyProtection="false">
      <alignment horizontal="general" vertical="center" textRotation="0" wrapText="true" indent="0" shrinkToFit="false"/>
      <protection locked="true" hidden="false"/>
    </xf>
    <xf numFmtId="164" fontId="7" fillId="7" borderId="0" xfId="0" applyFont="true" applyBorder="true" applyAlignment="true" applyProtection="false">
      <alignment horizontal="general" vertical="center" textRotation="0" wrapText="true" indent="0" shrinkToFit="false"/>
      <protection locked="true" hidden="false"/>
    </xf>
    <xf numFmtId="164" fontId="11" fillId="5" borderId="1" xfId="0" applyFont="true" applyBorder="true" applyAlignment="true" applyProtection="false">
      <alignment horizontal="general" vertical="center" textRotation="0" wrapText="true" indent="0" shrinkToFit="false"/>
      <protection locked="true" hidden="false"/>
    </xf>
    <xf numFmtId="174" fontId="11" fillId="5" borderId="1" xfId="0" applyFont="true" applyBorder="true" applyAlignment="true" applyProtection="false">
      <alignment horizontal="general" vertical="center" textRotation="0" wrapText="true" indent="0" shrinkToFit="false"/>
      <protection locked="true" hidden="false"/>
    </xf>
    <xf numFmtId="175" fontId="11" fillId="5" borderId="1" xfId="0" applyFont="true" applyBorder="true" applyAlignment="true" applyProtection="false">
      <alignment horizontal="general" vertical="center" textRotation="0" wrapText="true" indent="0" shrinkToFit="false"/>
      <protection locked="true" hidden="false"/>
    </xf>
    <xf numFmtId="164" fontId="19" fillId="5" borderId="1" xfId="0" applyFont="true" applyBorder="true" applyAlignment="true" applyProtection="false">
      <alignment horizontal="general" vertical="center" textRotation="0" wrapText="true" indent="0" shrinkToFit="false"/>
      <protection locked="true" hidden="false"/>
    </xf>
    <xf numFmtId="176" fontId="11" fillId="5" borderId="1" xfId="0" applyFont="true" applyBorder="true" applyAlignment="true" applyProtection="false">
      <alignment horizontal="general" vertical="center" textRotation="0" wrapText="true" indent="0" shrinkToFit="false"/>
      <protection locked="true" hidden="false"/>
    </xf>
    <xf numFmtId="164" fontId="11" fillId="7" borderId="0" xfId="0" applyFont="true" applyBorder="true" applyAlignment="true" applyProtection="false">
      <alignment horizontal="general" vertical="center" textRotation="0" wrapText="true" indent="0" shrinkToFit="false"/>
      <protection locked="true" hidden="false"/>
    </xf>
    <xf numFmtId="164" fontId="11" fillId="5" borderId="0" xfId="0" applyFont="true" applyBorder="true" applyAlignment="true" applyProtection="false">
      <alignment horizontal="general" vertical="center" textRotation="0" wrapText="true" indent="0" shrinkToFit="false"/>
      <protection locked="true" hidden="false"/>
    </xf>
    <xf numFmtId="164" fontId="20" fillId="2" borderId="0" xfId="0" applyFont="true" applyBorder="true" applyAlignment="true" applyProtection="false">
      <alignment horizontal="general" vertical="center" textRotation="0" wrapText="true" indent="0" shrinkToFit="false"/>
      <protection locked="true" hidden="false"/>
    </xf>
    <xf numFmtId="177" fontId="11" fillId="5"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FE5E5"/>
        </patternFill>
      </fill>
    </dxf>
    <dxf>
      <fill>
        <patternFill>
          <bgColor rgb="FFFFF0CE"/>
        </patternFill>
      </fill>
    </dxf>
    <dxf>
      <fill>
        <patternFill patternType="solid">
          <fgColor rgb="FFE5F2FF"/>
          <bgColor rgb="FF000000"/>
        </patternFill>
      </fill>
    </dxf>
    <dxf>
      <fill>
        <patternFill patternType="solid">
          <fgColor rgb="FFF1F5F9"/>
          <bgColor rgb="FF000000"/>
        </patternFill>
      </fill>
    </dxf>
    <dxf>
      <fill>
        <patternFill patternType="solid">
          <fgColor rgb="FF086AA5"/>
          <bgColor rgb="FF000000"/>
        </patternFill>
      </fill>
    </dxf>
    <dxf>
      <fill>
        <patternFill patternType="solid">
          <fgColor rgb="FF20354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87F8C"/>
      <rgbColor rgb="FFF1F5F9"/>
      <rgbColor rgb="FF878787"/>
      <rgbColor rgb="FF9999FF"/>
      <rgbColor rgb="FF993366"/>
      <rgbColor rgb="FFFFF0CE"/>
      <rgbColor rgb="FFE1F3EB"/>
      <rgbColor rgb="FF660066"/>
      <rgbColor rgb="FFFF8080"/>
      <rgbColor rgb="FF086AA5"/>
      <rgbColor rgb="FFD9D9D9"/>
      <rgbColor rgb="FF000080"/>
      <rgbColor rgb="FFFF00FF"/>
      <rgbColor rgb="FFFFFF00"/>
      <rgbColor rgb="FF00FFFF"/>
      <rgbColor rgb="FF800080"/>
      <rgbColor rgb="FF800000"/>
      <rgbColor rgb="FF008080"/>
      <rgbColor rgb="FF0000FF"/>
      <rgbColor rgb="FF00CCFF"/>
      <rgbColor rgb="FFE5F2FF"/>
      <rgbColor rgb="FFD6E1EA"/>
      <rgbColor rgb="FFF9F9F9"/>
      <rgbColor rgb="FF99CCFF"/>
      <rgbColor rgb="FFFF99CC"/>
      <rgbColor rgb="FFCC99FF"/>
      <rgbColor rgb="FFFFE5E5"/>
      <rgbColor rgb="FF4F81BD"/>
      <rgbColor rgb="FF33CCCC"/>
      <rgbColor rgb="FF99CC00"/>
      <rgbColor rgb="FFFFCC00"/>
      <rgbColor rgb="FFFF9900"/>
      <rgbColor rgb="FFFF6600"/>
      <rgbColor rgb="FF617589"/>
      <rgbColor rgb="FF969696"/>
      <rgbColor rgb="FF142D4E"/>
      <rgbColor rgb="FF339966"/>
      <rgbColor rgb="FF003300"/>
      <rgbColor rgb="FF333300"/>
      <rgbColor rgb="FF993300"/>
      <rgbColor rgb="FF993366"/>
      <rgbColor rgb="FF333399"/>
      <rgbColor rgb="FF2035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Bidrag til trykkdifferanse</a:t>
            </a:r>
          </a:p>
        </c:rich>
      </c:tx>
      <c:overlay val="0"/>
      <c:spPr>
        <a:noFill/>
        <a:ln w="0">
          <a:noFill/>
        </a:ln>
      </c:spPr>
    </c:title>
    <c:autoTitleDeleted val="0"/>
    <c:plotArea>
      <c:barChart>
        <c:barDir val="bar"/>
        <c:grouping val="clustered"/>
        <c:varyColors val="0"/>
        <c:ser>
          <c:idx val="0"/>
          <c:order val="0"/>
          <c:tx>
            <c:strRef>
              <c:f>Beregning!E29</c:f>
              <c:strCache>
                <c:ptCount val="1"/>
                <c:pt idx="0">
                  <c:v>bar</c:v>
                </c:pt>
              </c:strCache>
            </c:strRef>
          </c:tx>
          <c:spPr>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Beregning!$D$30:$D$35</c:f>
              <c:strCache>
                <c:ptCount val="6"/>
                <c:pt idx="0">
                  <c:v>Rørfriksjon</c:v>
                </c:pt>
                <c:pt idx="1">
                  <c:v>Bend / K</c:v>
                </c:pt>
                <c:pt idx="2">
                  <c:v>Ventiler</c:v>
                </c:pt>
                <c:pt idx="3">
                  <c:v>Flenskoblinger</c:v>
                </c:pt>
                <c:pt idx="4">
                  <c:v>Andre komponenter</c:v>
                </c:pt>
                <c:pt idx="5">
                  <c:v>Høydebidrag</c:v>
                </c:pt>
              </c:strCache>
            </c:strRef>
          </c:cat>
          <c:val>
            <c:numRef>
              <c:f>Beregning!$E$30:$E$35</c:f>
              <c:numCache>
                <c:formatCode>0.000</c:formatCode>
                <c:ptCount val="6"/>
                <c:pt idx="0">
                  <c:v>0.413427391377765</c:v>
                </c:pt>
                <c:pt idx="1">
                  <c:v>0.0224374066707195</c:v>
                </c:pt>
                <c:pt idx="2">
                  <c:v>0</c:v>
                </c:pt>
                <c:pt idx="3">
                  <c:v>0</c:v>
                </c:pt>
                <c:pt idx="4">
                  <c:v>0</c:v>
                </c:pt>
                <c:pt idx="5">
                  <c:v>0.7831198424</c:v>
                </c:pt>
              </c:numCache>
            </c:numRef>
          </c:val>
        </c:ser>
        <c:gapWidth val="150"/>
        <c:overlap val="0"/>
        <c:axId val="94582545"/>
        <c:axId val="99881696"/>
      </c:barChart>
      <c:catAx>
        <c:axId val="945825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9881696"/>
        <c:crosses val="autoZero"/>
        <c:auto val="1"/>
        <c:lblAlgn val="ctr"/>
        <c:lblOffset val="100"/>
        <c:noMultiLvlLbl val="0"/>
      </c:catAx>
      <c:valAx>
        <c:axId val="99881696"/>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bar (med fortegn)</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582545"/>
        <c:crosses val="autoZero"/>
        <c:crossBetween val="between"/>
      </c:valAx>
      <c:spPr>
        <a:ln w="0">
          <a:noFill/>
        </a:ln>
      </c:spPr>
    </c:plotArea>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25</xdr:row>
      <xdr:rowOff>0</xdr:rowOff>
    </xdr:from>
    <xdr:to>
      <xdr:col>13</xdr:col>
      <xdr:colOff>509400</xdr:colOff>
      <xdr:row>33</xdr:row>
      <xdr:rowOff>269640</xdr:rowOff>
    </xdr:to>
    <xdr:graphicFrame>
      <xdr:nvGraphicFramePr>
        <xdr:cNvPr id="1" name="Chart 1"/>
        <xdr:cNvGraphicFramePr/>
      </xdr:nvGraphicFramePr>
      <xdr:xfrm>
        <a:off x="6484680" y="7620120"/>
        <a:ext cx="5795640" cy="255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input/Trykkberegning_ror.xlsx" TargetMode="External"/><Relationship Id="rId3" Type="http://schemas.openxmlformats.org/officeDocument/2006/relationships/hyperlink" Target="../input/Trykkberegning_ror.xlsx" TargetMode="External"/><Relationship Id="rId4" Type="http://schemas.openxmlformats.org/officeDocument/2006/relationships/hyperlink" Target="../input/Trykkberegning_ror.xlsx" TargetMode="External"/><Relationship Id="rId5" Type="http://schemas.openxmlformats.org/officeDocument/2006/relationships/drawing" Target="../drawings/drawing1.xml"/><Relationship Id="rId6"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hyperlink" Target="https://github.com/CalebBell/fluids/blob/master/fluids/fittings.py"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C"/>
    <pageSetUpPr fitToPage="true"/>
  </sheetPr>
  <dimension ref="A1:N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3" min="2" style="0" width="11"/>
    <col collapsed="false" customWidth="true" hidden="false" outlineLevel="0" max="4" min="4" style="0" width="13"/>
    <col collapsed="false" customWidth="true" hidden="false" outlineLevel="0" max="5" min="5" style="0" width="23"/>
    <col collapsed="false" customWidth="true" hidden="false" outlineLevel="0" max="6" min="6" style="0" width="13"/>
    <col collapsed="false" customWidth="true" hidden="false" outlineLevel="0" max="7" min="7" style="0" width="3"/>
    <col collapsed="false" customWidth="true" hidden="false" outlineLevel="0" max="8" min="8" style="0" width="15"/>
    <col collapsed="false" customWidth="true" hidden="false" outlineLevel="0" max="11" min="9" style="0" width="12"/>
    <col collapsed="false" customWidth="true" hidden="false" outlineLevel="0" max="12" min="12" style="0" width="13"/>
    <col collapsed="false" customWidth="true" hidden="false" outlineLevel="0" max="13" min="13" style="0" width="11"/>
    <col collapsed="false" customWidth="true" hidden="false" outlineLevel="0" max="14" min="14" style="0" width="12"/>
  </cols>
  <sheetData>
    <row r="1" customFormat="false" ht="22.5" hidden="false" customHeight="true" outlineLevel="0" collapsed="false">
      <c r="A1" s="1" t="s">
        <v>0</v>
      </c>
      <c r="B1" s="1"/>
      <c r="C1" s="1"/>
      <c r="D1" s="1"/>
      <c r="E1" s="1"/>
      <c r="F1" s="1"/>
      <c r="G1" s="1"/>
      <c r="H1" s="1"/>
      <c r="I1" s="1"/>
      <c r="J1" s="1"/>
      <c r="K1" s="1"/>
      <c r="L1" s="1"/>
      <c r="M1" s="1"/>
      <c r="N1" s="1"/>
    </row>
    <row r="2" customFormat="false" ht="22.5" hidden="false" customHeight="true" outlineLevel="0" collapsed="false">
      <c r="A2" s="1"/>
      <c r="B2" s="1"/>
      <c r="C2" s="1"/>
      <c r="D2" s="1"/>
      <c r="E2" s="1"/>
      <c r="F2" s="1"/>
      <c r="G2" s="1"/>
      <c r="H2" s="1"/>
      <c r="I2" s="1"/>
      <c r="J2" s="1"/>
      <c r="K2" s="1"/>
      <c r="L2" s="1"/>
      <c r="M2" s="1"/>
      <c r="N2" s="1"/>
    </row>
    <row r="3" customFormat="false" ht="22.5" hidden="false" customHeight="true" outlineLevel="0" collapsed="false">
      <c r="A3" s="2" t="s">
        <v>1</v>
      </c>
      <c r="B3" s="2"/>
      <c r="C3" s="2"/>
      <c r="D3" s="2"/>
      <c r="E3" s="2"/>
      <c r="F3" s="2"/>
      <c r="G3" s="2"/>
      <c r="H3" s="2"/>
      <c r="I3" s="2"/>
      <c r="J3" s="2"/>
      <c r="K3" s="2"/>
      <c r="L3" s="2"/>
      <c r="M3" s="2"/>
      <c r="N3" s="2"/>
    </row>
    <row r="4" customFormat="false" ht="22.5" hidden="false" customHeight="true" outlineLevel="0" collapsed="false"/>
    <row r="5" customFormat="false" ht="22.5" hidden="false" customHeight="true" outlineLevel="0" collapsed="false">
      <c r="A5" s="3" t="s">
        <v>2</v>
      </c>
      <c r="B5" s="3"/>
      <c r="C5" s="3"/>
      <c r="D5" s="3"/>
      <c r="E5" s="3"/>
      <c r="F5" s="3"/>
      <c r="H5" s="4" t="s">
        <v>3</v>
      </c>
      <c r="I5" s="4"/>
      <c r="J5" s="4"/>
      <c r="K5" s="4"/>
      <c r="L5" s="4"/>
      <c r="M5" s="4"/>
      <c r="N5" s="4"/>
    </row>
    <row r="6" customFormat="false" ht="30" hidden="false" customHeight="true" outlineLevel="0" collapsed="false">
      <c r="A6" s="5" t="s">
        <v>4</v>
      </c>
      <c r="B6" s="5"/>
      <c r="C6" s="5"/>
      <c r="D6" s="5"/>
      <c r="E6" s="6" t="s">
        <v>5</v>
      </c>
      <c r="F6" s="6"/>
      <c r="H6" s="7" t="s">
        <v>6</v>
      </c>
      <c r="I6" s="7"/>
      <c r="J6" s="7"/>
      <c r="K6" s="7"/>
      <c r="L6" s="7"/>
      <c r="M6" s="7"/>
      <c r="N6" s="7"/>
    </row>
    <row r="7" customFormat="false" ht="30" hidden="false" customHeight="true" outlineLevel="0" collapsed="false">
      <c r="A7" s="5" t="s">
        <v>7</v>
      </c>
      <c r="B7" s="5"/>
      <c r="C7" s="5"/>
      <c r="D7" s="5"/>
      <c r="E7" s="6" t="s">
        <v>8</v>
      </c>
      <c r="F7" s="6"/>
      <c r="H7" s="8" t="n">
        <f aca="false">IF(Beregning!B4="OK",Beregning!B37/100000,"")</f>
        <v>1.21898464044849</v>
      </c>
      <c r="I7" s="8"/>
      <c r="J7" s="8"/>
      <c r="K7" s="8"/>
      <c r="L7" s="8"/>
      <c r="M7" s="8"/>
      <c r="N7" s="8"/>
    </row>
    <row r="8" customFormat="false" ht="22.5" hidden="false" customHeight="true" outlineLevel="0" collapsed="false">
      <c r="A8" s="5" t="s">
        <v>9</v>
      </c>
      <c r="B8" s="5"/>
      <c r="C8" s="5"/>
      <c r="D8" s="5"/>
      <c r="E8" s="9" t="n">
        <f aca="false">IF(E9&lt;&gt;"",E9,IFERROR(VLOOKUP(E6&amp;"|"&amp;E7,Roroppslag,4,FALSE()),0))</f>
        <v>88.9</v>
      </c>
      <c r="F8" s="10" t="s">
        <v>10</v>
      </c>
      <c r="H8" s="8"/>
      <c r="I8" s="8"/>
      <c r="J8" s="8"/>
      <c r="K8" s="8"/>
      <c r="L8" s="8"/>
      <c r="M8" s="8"/>
      <c r="N8" s="8"/>
    </row>
    <row r="9" customFormat="false" ht="22.5" hidden="false" customHeight="true" outlineLevel="0" collapsed="false">
      <c r="A9" s="5" t="s">
        <v>11</v>
      </c>
      <c r="B9" s="5"/>
      <c r="C9" s="5"/>
      <c r="D9" s="5"/>
      <c r="E9" s="11"/>
      <c r="F9" s="10" t="s">
        <v>10</v>
      </c>
      <c r="H9" s="8"/>
      <c r="I9" s="8"/>
      <c r="J9" s="8"/>
      <c r="K9" s="8"/>
      <c r="L9" s="8"/>
      <c r="M9" s="8"/>
      <c r="N9" s="8"/>
    </row>
    <row r="10" customFormat="false" ht="22.5" hidden="false" customHeight="true" outlineLevel="0" collapsed="false">
      <c r="A10" s="5" t="s">
        <v>12</v>
      </c>
      <c r="B10" s="5"/>
      <c r="C10" s="5"/>
      <c r="D10" s="5"/>
      <c r="E10" s="11" t="n">
        <v>3.2</v>
      </c>
      <c r="F10" s="10" t="s">
        <v>10</v>
      </c>
      <c r="H10" s="2" t="s">
        <v>13</v>
      </c>
      <c r="I10" s="2"/>
      <c r="J10" s="2"/>
      <c r="K10" s="2"/>
      <c r="L10" s="2"/>
      <c r="M10" s="2"/>
      <c r="N10" s="2"/>
    </row>
    <row r="11" customFormat="false" ht="22.5" hidden="false" customHeight="true" outlineLevel="0" collapsed="false">
      <c r="A11" s="5" t="s">
        <v>14</v>
      </c>
      <c r="B11" s="5"/>
      <c r="C11" s="5"/>
      <c r="D11" s="5"/>
      <c r="E11" s="11"/>
      <c r="F11" s="10" t="s">
        <v>10</v>
      </c>
    </row>
    <row r="12" customFormat="false" ht="22.5" hidden="false" customHeight="true" outlineLevel="0" collapsed="false">
      <c r="A12" s="5" t="s">
        <v>15</v>
      </c>
      <c r="B12" s="5"/>
      <c r="C12" s="5"/>
      <c r="D12" s="5"/>
      <c r="E12" s="9" t="n">
        <f aca="false">IF(E11&lt;&gt;"",E11,IFERROR(E8-2*E10,0))</f>
        <v>82.5</v>
      </c>
      <c r="F12" s="10" t="s">
        <v>10</v>
      </c>
      <c r="H12" s="5" t="s">
        <v>16</v>
      </c>
      <c r="I12" s="5"/>
      <c r="J12" s="5"/>
      <c r="K12" s="5"/>
      <c r="L12" s="12" t="n">
        <f aca="false">IF(Beregning!B4="OK",Beregning!B35/100000,"")</f>
        <v>0.435864798048485</v>
      </c>
      <c r="M12" s="12"/>
      <c r="N12" s="12"/>
    </row>
    <row r="13" customFormat="false" ht="30" hidden="false" customHeight="true" outlineLevel="0" collapsed="false">
      <c r="A13" s="5" t="s">
        <v>17</v>
      </c>
      <c r="B13" s="5"/>
      <c r="C13" s="5"/>
      <c r="D13" s="5"/>
      <c r="E13" s="6" t="s">
        <v>18</v>
      </c>
      <c r="F13" s="6"/>
      <c r="H13" s="5" t="s">
        <v>19</v>
      </c>
      <c r="I13" s="5"/>
      <c r="J13" s="5"/>
      <c r="K13" s="5"/>
      <c r="L13" s="12" t="n">
        <f aca="false">IF(Beregning!B4="OK",Beregning!B36/100000,"")</f>
        <v>0.7831198424</v>
      </c>
      <c r="M13" s="12"/>
      <c r="N13" s="12"/>
    </row>
    <row r="14" customFormat="false" ht="30" hidden="false" customHeight="true" outlineLevel="0" collapsed="false">
      <c r="A14" s="5" t="s">
        <v>20</v>
      </c>
      <c r="B14" s="5"/>
      <c r="C14" s="5"/>
      <c r="D14" s="5"/>
      <c r="E14" s="6" t="s">
        <v>21</v>
      </c>
      <c r="F14" s="6"/>
      <c r="H14" s="5" t="s">
        <v>22</v>
      </c>
      <c r="I14" s="5"/>
      <c r="J14" s="5"/>
      <c r="K14" s="5"/>
      <c r="L14" s="13" t="n">
        <f aca="false">IF(Beregning!B3="OK",Beregning!B13,"")</f>
        <v>1.87069170943642</v>
      </c>
      <c r="M14" s="13"/>
      <c r="N14" s="13"/>
    </row>
    <row r="15" customFormat="false" ht="22.5" hidden="false" customHeight="true" outlineLevel="0" collapsed="false">
      <c r="A15" s="5" t="s">
        <v>23</v>
      </c>
      <c r="B15" s="5"/>
      <c r="C15" s="5"/>
      <c r="D15" s="5"/>
      <c r="E15" s="14" t="n">
        <f aca="false">IF(E16&lt;&gt;"",E16,IFERROR(VLOOKUP(E13,Materialdata,3,FALSE()),0))</f>
        <v>0.045</v>
      </c>
      <c r="F15" s="10" t="s">
        <v>10</v>
      </c>
      <c r="H15" s="5" t="s">
        <v>24</v>
      </c>
      <c r="I15" s="5"/>
      <c r="J15" s="5"/>
      <c r="K15" s="5"/>
      <c r="L15" s="15" t="n">
        <f aca="false">IF(Beregning!B3="OK",Beregning!B14,"")</f>
        <v>153746.774760133</v>
      </c>
      <c r="M15" s="15"/>
      <c r="N15" s="15"/>
    </row>
    <row r="16" customFormat="false" ht="22.5" hidden="false" customHeight="true" outlineLevel="0" collapsed="false">
      <c r="A16" s="5" t="s">
        <v>25</v>
      </c>
      <c r="B16" s="5"/>
      <c r="C16" s="5"/>
      <c r="D16" s="5"/>
      <c r="E16" s="16"/>
      <c r="F16" s="10" t="s">
        <v>10</v>
      </c>
      <c r="H16" s="5" t="s">
        <v>26</v>
      </c>
      <c r="I16" s="5"/>
      <c r="J16" s="5"/>
      <c r="K16" s="5"/>
      <c r="L16" s="17" t="str">
        <f aca="false">IF(Beregning!B3="OK",Beregning!B24,"")</f>
        <v>Turbulent</v>
      </c>
      <c r="M16" s="17"/>
      <c r="N16" s="17"/>
    </row>
    <row r="17" customFormat="false" ht="22.5" hidden="false" customHeight="true" outlineLevel="0" collapsed="false">
      <c r="A17" s="5" t="s">
        <v>27</v>
      </c>
      <c r="B17" s="5"/>
      <c r="C17" s="5"/>
      <c r="D17" s="5"/>
      <c r="E17" s="18" t="n">
        <v>0</v>
      </c>
      <c r="F17" s="10" t="s">
        <v>28</v>
      </c>
      <c r="H17" s="5" t="s">
        <v>29</v>
      </c>
      <c r="I17" s="5"/>
      <c r="J17" s="5"/>
      <c r="K17" s="5"/>
      <c r="L17" s="19" t="n">
        <f aca="false">IF(Beregning!B3="OK",Beregning!B23,"")</f>
        <v>0.0195281536170635</v>
      </c>
      <c r="M17" s="19"/>
      <c r="N17" s="19"/>
    </row>
    <row r="18" customFormat="false" ht="22.5" hidden="false" customHeight="true" outlineLevel="0" collapsed="false">
      <c r="A18" s="5" t="s">
        <v>30</v>
      </c>
      <c r="B18" s="5"/>
      <c r="C18" s="5"/>
      <c r="D18" s="5"/>
      <c r="E18" s="16" t="n">
        <v>0</v>
      </c>
      <c r="F18" s="10" t="s">
        <v>31</v>
      </c>
      <c r="H18" s="5" t="s">
        <v>32</v>
      </c>
      <c r="I18" s="5"/>
      <c r="J18" s="5"/>
      <c r="K18" s="5"/>
      <c r="L18" s="20" t="n">
        <f aca="false">IF(Beregning!B4="OK",Beregning!B37/(Beregning!B10*Beregning!B6),"")</f>
        <v>12.4525986900059</v>
      </c>
      <c r="M18" s="20"/>
      <c r="N18" s="20"/>
    </row>
    <row r="19" customFormat="false" ht="22.5" hidden="false" customHeight="true" outlineLevel="0" collapsed="false">
      <c r="A19" s="3" t="s">
        <v>33</v>
      </c>
      <c r="B19" s="3"/>
      <c r="C19" s="3"/>
      <c r="D19" s="3"/>
      <c r="E19" s="3"/>
      <c r="F19" s="3"/>
      <c r="H19" s="5" t="s">
        <v>34</v>
      </c>
      <c r="I19" s="5"/>
      <c r="J19" s="5"/>
      <c r="K19" s="5"/>
      <c r="L19" s="21" t="str">
        <f aca="false">IF(OR(Beregning!B4&lt;&gt;"OK",E33=""),"Ikke angitt",E33-Beregning!B37/100000)</f>
        <v>Ikke angitt</v>
      </c>
      <c r="M19" s="21"/>
      <c r="N19" s="21"/>
    </row>
    <row r="20" customFormat="false" ht="30" hidden="false" customHeight="true" outlineLevel="0" collapsed="false">
      <c r="A20" s="5" t="s">
        <v>35</v>
      </c>
      <c r="B20" s="5"/>
      <c r="C20" s="5"/>
      <c r="D20" s="5"/>
      <c r="E20" s="6" t="s">
        <v>36</v>
      </c>
      <c r="F20" s="6"/>
    </row>
    <row r="21" customFormat="false" ht="22.5" hidden="false" customHeight="true" outlineLevel="0" collapsed="false">
      <c r="A21" s="5" t="s">
        <v>37</v>
      </c>
      <c r="B21" s="5"/>
      <c r="C21" s="5"/>
      <c r="D21" s="5"/>
      <c r="E21" s="9" t="n">
        <f aca="false">IF(E23&lt;&gt;"",E23,IFERROR(VLOOKUP(E20,Mediedata,2,FALSE()),0))</f>
        <v>998.2</v>
      </c>
      <c r="F21" s="10" t="s">
        <v>38</v>
      </c>
      <c r="H21" s="22" t="s">
        <v>39</v>
      </c>
      <c r="I21" s="22"/>
      <c r="J21" s="22"/>
      <c r="K21" s="22"/>
      <c r="L21" s="22"/>
      <c r="M21" s="22"/>
      <c r="N21" s="22"/>
    </row>
    <row r="22" customFormat="false" ht="22.5" hidden="false" customHeight="true" outlineLevel="0" collapsed="false">
      <c r="A22" s="5" t="s">
        <v>40</v>
      </c>
      <c r="B22" s="5"/>
      <c r="C22" s="5"/>
      <c r="D22" s="5"/>
      <c r="E22" s="14" t="n">
        <f aca="false">IF(E24&lt;&gt;"",E24,IFERROR(VLOOKUP(E20,Mediedata,3,FALSE()),0))</f>
        <v>1.002</v>
      </c>
      <c r="F22" s="10" t="s">
        <v>41</v>
      </c>
      <c r="H22" s="23" t="str">
        <f aca="false">IF(Beregning!B4&lt;&gt;"OK",Beregning!B4,IF(E14="Annen / dokumentert","OK – kontroller egen EN-standard mot leverandørdata.",IF(Beregning!B37&lt;0,"OK – negativ differanse: høydefallet gir mer trykk enn tapene tar.","OK – alle aktive komponentrader er med.")))</f>
        <v>OK – alle aktive komponentrader er med.</v>
      </c>
      <c r="I22" s="23"/>
      <c r="J22" s="23"/>
      <c r="K22" s="23"/>
      <c r="L22" s="23"/>
      <c r="M22" s="23"/>
      <c r="N22" s="23"/>
    </row>
    <row r="23" customFormat="false" ht="22.5" hidden="false" customHeight="true" outlineLevel="0" collapsed="false">
      <c r="A23" s="5" t="s">
        <v>42</v>
      </c>
      <c r="B23" s="5"/>
      <c r="C23" s="5"/>
      <c r="D23" s="5"/>
      <c r="E23" s="11"/>
      <c r="F23" s="10" t="s">
        <v>38</v>
      </c>
      <c r="H23" s="23"/>
      <c r="I23" s="23"/>
      <c r="J23" s="23"/>
      <c r="K23" s="23"/>
      <c r="L23" s="23"/>
      <c r="M23" s="23"/>
      <c r="N23" s="23"/>
    </row>
    <row r="24" customFormat="false" ht="22.5" hidden="false" customHeight="true" outlineLevel="0" collapsed="false">
      <c r="A24" s="5" t="s">
        <v>43</v>
      </c>
      <c r="B24" s="5"/>
      <c r="C24" s="5"/>
      <c r="D24" s="5"/>
      <c r="E24" s="16"/>
      <c r="F24" s="10" t="s">
        <v>41</v>
      </c>
      <c r="H24" s="23"/>
      <c r="I24" s="23"/>
      <c r="J24" s="23"/>
      <c r="K24" s="23"/>
      <c r="L24" s="23"/>
      <c r="M24" s="23"/>
      <c r="N24" s="23"/>
    </row>
    <row r="25" customFormat="false" ht="22.5" hidden="false" customHeight="true" outlineLevel="0" collapsed="false">
      <c r="A25" s="5" t="s">
        <v>44</v>
      </c>
      <c r="B25" s="5"/>
      <c r="C25" s="5"/>
      <c r="D25" s="5"/>
      <c r="E25" s="11" t="n">
        <v>36</v>
      </c>
      <c r="F25" s="10" t="s">
        <v>45</v>
      </c>
    </row>
    <row r="26" customFormat="false" ht="22.5" hidden="false" customHeight="true" outlineLevel="0" collapsed="false">
      <c r="A26" s="5" t="s">
        <v>46</v>
      </c>
      <c r="B26" s="5"/>
      <c r="C26" s="5"/>
      <c r="D26" s="5"/>
      <c r="E26" s="14" t="n">
        <f aca="false">IFERROR(1000*E22/E21,0)</f>
        <v>1.0038068523342</v>
      </c>
      <c r="F26" s="10" t="s">
        <v>47</v>
      </c>
    </row>
    <row r="27" customFormat="false" ht="22.5" hidden="false" customHeight="true" outlineLevel="0" collapsed="false"/>
    <row r="28" customFormat="false" ht="22.5" hidden="false" customHeight="true" outlineLevel="0" collapsed="false">
      <c r="A28" s="3" t="s">
        <v>48</v>
      </c>
      <c r="B28" s="3"/>
      <c r="C28" s="3"/>
      <c r="D28" s="3"/>
      <c r="E28" s="3"/>
      <c r="F28" s="3"/>
    </row>
    <row r="29" customFormat="false" ht="22.5" hidden="false" customHeight="true" outlineLevel="0" collapsed="false">
      <c r="A29" s="5" t="s">
        <v>49</v>
      </c>
      <c r="B29" s="5"/>
      <c r="C29" s="5"/>
      <c r="D29" s="5"/>
      <c r="E29" s="11" t="n">
        <v>100</v>
      </c>
      <c r="F29" s="10" t="s">
        <v>50</v>
      </c>
    </row>
    <row r="30" customFormat="false" ht="22.5" hidden="false" customHeight="true" outlineLevel="0" collapsed="false">
      <c r="A30" s="5" t="s">
        <v>51</v>
      </c>
      <c r="B30" s="5"/>
      <c r="C30" s="5"/>
      <c r="D30" s="5"/>
      <c r="E30" s="11" t="n">
        <v>10</v>
      </c>
      <c r="F30" s="10" t="s">
        <v>50</v>
      </c>
    </row>
    <row r="31" customFormat="false" ht="22.5" hidden="false" customHeight="true" outlineLevel="0" collapsed="false">
      <c r="A31" s="5" t="s">
        <v>52</v>
      </c>
      <c r="B31" s="5"/>
      <c r="C31" s="5"/>
      <c r="D31" s="5"/>
      <c r="E31" s="11" t="n">
        <v>2</v>
      </c>
      <c r="F31" s="10" t="s">
        <v>50</v>
      </c>
    </row>
    <row r="32" customFormat="false" ht="22.5" hidden="false" customHeight="true" outlineLevel="0" collapsed="false">
      <c r="A32" s="5" t="s">
        <v>53</v>
      </c>
      <c r="B32" s="5"/>
      <c r="C32" s="5"/>
      <c r="D32" s="5"/>
      <c r="E32" s="9" t="n">
        <f aca="false">IFERROR(E30-E31,0)</f>
        <v>8</v>
      </c>
      <c r="F32" s="10" t="s">
        <v>50</v>
      </c>
    </row>
    <row r="33" customFormat="false" ht="22.5" hidden="false" customHeight="true" outlineLevel="0" collapsed="false">
      <c r="A33" s="5" t="s">
        <v>54</v>
      </c>
      <c r="B33" s="5"/>
      <c r="C33" s="5"/>
      <c r="D33" s="5"/>
      <c r="E33" s="11"/>
      <c r="F33" s="10" t="s">
        <v>55</v>
      </c>
    </row>
    <row r="34" customFormat="false" ht="22.5" hidden="false" customHeight="true" outlineLevel="0" collapsed="false"/>
    <row r="35" customFormat="false" ht="22.5" hidden="false" customHeight="true" outlineLevel="0" collapsed="false">
      <c r="A35" s="24" t="s">
        <v>56</v>
      </c>
      <c r="B35" s="24"/>
      <c r="C35" s="24"/>
      <c r="D35" s="24"/>
      <c r="E35" s="24"/>
      <c r="F35" s="24"/>
    </row>
    <row r="36" customFormat="false" ht="22.5" hidden="false" customHeight="true" outlineLevel="0" collapsed="false">
      <c r="A36" s="25" t="s">
        <v>57</v>
      </c>
      <c r="B36" s="25"/>
      <c r="C36" s="25"/>
      <c r="D36" s="25"/>
      <c r="E36" s="25"/>
      <c r="F36" s="25"/>
    </row>
    <row r="37" customFormat="false" ht="22.5" hidden="false" customHeight="true" outlineLevel="0" collapsed="false">
      <c r="A37" s="25" t="s">
        <v>58</v>
      </c>
      <c r="B37" s="25"/>
      <c r="C37" s="25"/>
      <c r="D37" s="25"/>
      <c r="E37" s="25"/>
      <c r="F37" s="25"/>
    </row>
    <row r="38" customFormat="false" ht="22.5" hidden="false" customHeight="true" outlineLevel="0" collapsed="false">
      <c r="A38" s="25" t="s">
        <v>59</v>
      </c>
      <c r="B38" s="25"/>
      <c r="C38" s="25"/>
      <c r="D38" s="25"/>
      <c r="E38" s="25"/>
      <c r="F38" s="25"/>
    </row>
    <row r="39" customFormat="false" ht="22.5" hidden="false" customHeight="true" outlineLevel="0" collapsed="false"/>
    <row r="40" customFormat="false" ht="22.5" hidden="false" customHeight="true" outlineLevel="0" collapsed="false">
      <c r="A40" s="26" t="s">
        <v>60</v>
      </c>
      <c r="B40" s="26"/>
      <c r="C40" s="26"/>
      <c r="D40" s="26"/>
      <c r="E40" s="26"/>
      <c r="F40" s="26"/>
      <c r="G40" s="26"/>
      <c r="H40" s="26"/>
      <c r="I40" s="26"/>
      <c r="J40" s="26"/>
      <c r="K40" s="26"/>
      <c r="L40" s="26"/>
      <c r="M40" s="26"/>
      <c r="N40" s="26"/>
    </row>
    <row r="41" customFormat="false" ht="22.5" hidden="false" customHeight="true" outlineLevel="0" collapsed="false">
      <c r="A41" s="26"/>
      <c r="B41" s="26"/>
      <c r="C41" s="26"/>
      <c r="D41" s="26"/>
      <c r="E41" s="26"/>
      <c r="F41" s="26"/>
      <c r="G41" s="26"/>
      <c r="H41" s="26"/>
      <c r="I41" s="26"/>
      <c r="J41" s="26"/>
      <c r="K41" s="26"/>
      <c r="L41" s="26"/>
      <c r="M41" s="26"/>
      <c r="N41" s="26"/>
    </row>
    <row r="42" customFormat="false" ht="22.5" hidden="false" customHeight="true" outlineLevel="0" collapsed="false"/>
    <row r="43" customFormat="false" ht="22.5" hidden="false" customHeight="true" outlineLevel="0" collapsed="false"/>
    <row r="44" customFormat="false" ht="22.5" hidden="false" customHeight="true" outlineLevel="0" collapsed="false"/>
    <row r="45" customFormat="false" ht="22.5" hidden="false" customHeight="true" outlineLevel="0" collapsed="false"/>
    <row r="46" customFormat="false" ht="22.5" hidden="false" customHeight="true" outlineLevel="0" collapsed="false"/>
    <row r="47" customFormat="false" ht="22.5" hidden="false" customHeight="true" outlineLevel="0" collapsed="false"/>
    <row r="48" customFormat="false" ht="22.5" hidden="false" customHeight="true" outlineLevel="0" collapsed="false"/>
    <row r="49" customFormat="false" ht="22.5" hidden="false" customHeight="true" outlineLevel="0" collapsed="false"/>
    <row r="50" customFormat="false" ht="22.5" hidden="false" customHeight="true" outlineLevel="0" collapsed="false"/>
    <row r="51" customFormat="false" ht="22.5" hidden="false" customHeight="true" outlineLevel="0" collapsed="false"/>
    <row r="52" customFormat="false" ht="22.5" hidden="false" customHeight="true" outlineLevel="0" collapsed="false"/>
    <row r="53" customFormat="false" ht="22.5" hidden="false" customHeight="true" outlineLevel="0" collapsed="false"/>
    <row r="54" customFormat="false" ht="22.5" hidden="false" customHeight="true" outlineLevel="0" collapsed="false"/>
  </sheetData>
  <mergeCells count="62">
    <mergeCell ref="A1:N2"/>
    <mergeCell ref="A3:N3"/>
    <mergeCell ref="A5:F5"/>
    <mergeCell ref="H5:N5"/>
    <mergeCell ref="A6:D6"/>
    <mergeCell ref="E6:F6"/>
    <mergeCell ref="H6:N6"/>
    <mergeCell ref="A7:D7"/>
    <mergeCell ref="E7:F7"/>
    <mergeCell ref="H7:N9"/>
    <mergeCell ref="A8:D8"/>
    <mergeCell ref="A9:D9"/>
    <mergeCell ref="A10:D10"/>
    <mergeCell ref="H10:N10"/>
    <mergeCell ref="A11:D11"/>
    <mergeCell ref="A12:D12"/>
    <mergeCell ref="H12:K12"/>
    <mergeCell ref="L12:N12"/>
    <mergeCell ref="A13:D13"/>
    <mergeCell ref="E13:F13"/>
    <mergeCell ref="H13:K13"/>
    <mergeCell ref="L13:N13"/>
    <mergeCell ref="A14:D14"/>
    <mergeCell ref="E14:F14"/>
    <mergeCell ref="H14:K14"/>
    <mergeCell ref="L14:N14"/>
    <mergeCell ref="A15:D15"/>
    <mergeCell ref="H15:K15"/>
    <mergeCell ref="L15:N15"/>
    <mergeCell ref="A16:D16"/>
    <mergeCell ref="H16:K16"/>
    <mergeCell ref="L16:N16"/>
    <mergeCell ref="A17:D17"/>
    <mergeCell ref="H17:K17"/>
    <mergeCell ref="L17:N17"/>
    <mergeCell ref="A18:D18"/>
    <mergeCell ref="H18:K18"/>
    <mergeCell ref="L18:N18"/>
    <mergeCell ref="A19:F19"/>
    <mergeCell ref="H19:K19"/>
    <mergeCell ref="L19:N19"/>
    <mergeCell ref="A20:D20"/>
    <mergeCell ref="E20:F20"/>
    <mergeCell ref="A21:D21"/>
    <mergeCell ref="H21:N21"/>
    <mergeCell ref="A22:D22"/>
    <mergeCell ref="H22:N24"/>
    <mergeCell ref="A23:D23"/>
    <mergeCell ref="A24:D24"/>
    <mergeCell ref="A25:D25"/>
    <mergeCell ref="A26:D26"/>
    <mergeCell ref="A28:F28"/>
    <mergeCell ref="A29:D29"/>
    <mergeCell ref="A30:D30"/>
    <mergeCell ref="A31:D31"/>
    <mergeCell ref="A32:D32"/>
    <mergeCell ref="A33:D33"/>
    <mergeCell ref="A35:F35"/>
    <mergeCell ref="A36:F36"/>
    <mergeCell ref="A37:F37"/>
    <mergeCell ref="A38:F38"/>
    <mergeCell ref="A40:N41"/>
  </mergeCells>
  <conditionalFormatting sqref="H22:N24">
    <cfRule type="expression" priority="2" aboveAverage="0" equalAverage="0" bottom="0" percent="0" rank="0" text="" dxfId="0">
      <formula>LEFT($H$22,4)="FEIL"</formula>
    </cfRule>
    <cfRule type="expression" priority="3" aboveAverage="0" equalAverage="0" bottom="0" percent="0" rank="0" text="" dxfId="1">
      <formula>LEFT($H$22,8)="ADVARSEL"</formula>
    </cfRule>
  </conditionalFormatting>
  <dataValidations xmlns="http://schemas.openxmlformats.org/spreadsheetml/2006/main" count="18">
    <dataValidation sqref="E6" showDropDown="0" showInputMessage="1" showErrorMessage="1" allowBlank="1" errorTitle="Ugyldig valg" error="Velg fra listen, eller bruk et felt for egne verdier." promptTitle="Velg verdi" prompt="Bruk nedtrekkslisten. Blå felt kan redigeres." type="list">
      <formula1>Rorserier</formula1>
    </dataValidation>
    <dataValidation sqref="E7" showDropDown="0" showInputMessage="1" showErrorMessage="1" allowBlank="1" errorTitle="Ugyldig valg" error="Velg fra listen, eller bruk et felt for egne verdier." promptTitle="Velg verdi" prompt="Bruk nedtrekkslisten. Blå felt kan redigeres." type="list">
      <formula1>INDIRECT(IF($E$6="Metrisk OD","MetriskeOD","NominelleDN"))</formula1>
    </dataValidation>
    <dataValidation sqref="E13" showDropDown="0" showInputMessage="1" showErrorMessage="1" allowBlank="1" errorTitle="Ugyldig valg" error="Velg fra listen, eller bruk et felt for egne verdier." promptTitle="Velg verdi" prompt="Bruk nedtrekkslisten. Blå felt kan redigeres." type="list">
      <formula1>Materialvalg</formula1>
    </dataValidation>
    <dataValidation sqref="E14" showDropDown="0" showInputMessage="1" showErrorMessage="1" allowBlank="1" errorTitle="Ugyldig valg" error="Velg fra listen, eller bruk et felt for egne verdier." promptTitle="Velg verdi" prompt="Bruk nedtrekkslisten. Blå felt kan redigeres." type="list">
      <formula1>ENStandarder</formula1>
    </dataValidation>
    <dataValidation sqref="E20" showDropDown="0" showInputMessage="1" showErrorMessage="1" allowBlank="1" errorTitle="Ugyldig valg" error="Velg fra listen, eller bruk et felt for egne verdier." promptTitle="Velg verdi" prompt="Bruk nedtrekkslisten. Blå felt kan redigeres." type="list">
      <formula1>Medievalg</formula1>
    </dataValidation>
    <dataValidation sqref="E9" showDropDown="0" showInputMessage="0" showErrorMessage="1" allowBlank="1" errorTitle="Ugyldig tall" error="Oppgi et tall mellom 0 og 1000000000.0." type="decimal" operator="between">
      <formula1>0</formula1>
      <formula2>1000000000.0</formula2>
    </dataValidation>
    <dataValidation sqref="E10" showDropDown="0" showInputMessage="0" showErrorMessage="1" allowBlank="1" errorTitle="Ugyldig tall" error="Oppgi et tall mellom 0 og 1000000000.0." type="decimal" operator="between">
      <formula1>0</formula1>
      <formula2>1000000000.0</formula2>
    </dataValidation>
    <dataValidation sqref="E11" showDropDown="0" showInputMessage="0" showErrorMessage="1" allowBlank="1" errorTitle="Ugyldig tall" error="Oppgi et tall mellom 0 og 1000000000.0." type="decimal" operator="between">
      <formula1>0</formula1>
      <formula2>1000000000.0</formula2>
    </dataValidation>
    <dataValidation sqref="E16" showDropDown="0" showInputMessage="0" showErrorMessage="1" allowBlank="1" errorTitle="Ugyldig tall" error="Oppgi et tall mellom 0 og 1000000000.0." type="decimal" operator="between">
      <formula1>0</formula1>
      <formula2>1000000000.0</formula2>
    </dataValidation>
    <dataValidation sqref="E23" showDropDown="0" showInputMessage="0" showErrorMessage="1" allowBlank="1" errorTitle="Ugyldig tall" error="Oppgi et tall mellom 0 og 1000000000.0." type="decimal" operator="between">
      <formula1>0</formula1>
      <formula2>1000000000.0</formula2>
    </dataValidation>
    <dataValidation sqref="E24" showDropDown="0" showInputMessage="0" showErrorMessage="1" allowBlank="1" errorTitle="Ugyldig tall" error="Oppgi et tall mellom 0 og 1000000000.0." type="decimal" operator="between">
      <formula1>0</formula1>
      <formula2>1000000000.0</formula2>
    </dataValidation>
    <dataValidation sqref="E25" showDropDown="0" showInputMessage="0" showErrorMessage="1" allowBlank="1" errorTitle="Ugyldig tall" error="Oppgi et tall mellom 0 og 1000000000.0." type="decimal" operator="between">
      <formula1>0</formula1>
      <formula2>1000000000.0</formula2>
    </dataValidation>
    <dataValidation sqref="E29" showDropDown="0" showInputMessage="0" showErrorMessage="1" allowBlank="1" errorTitle="Ugyldig tall" error="Oppgi et tall mellom 0 og 1000000000.0." type="decimal" operator="between">
      <formula1>0</formula1>
      <formula2>1000000000.0</formula2>
    </dataValidation>
    <dataValidation sqref="E30" showDropDown="0" showInputMessage="0" showErrorMessage="1" allowBlank="1" errorTitle="Ugyldig tall" error="Oppgi et tall mellom 0 og 1000000000.0." type="decimal" operator="between">
      <formula1>0</formula1>
      <formula2>1000000000.0</formula2>
    </dataValidation>
    <dataValidation sqref="E31" showDropDown="0" showInputMessage="0" showErrorMessage="1" allowBlank="1" errorTitle="Ugyldig tall" error="Oppgi et tall mellom 0 og 1000000000.0." type="decimal" operator="between">
      <formula1>0</formula1>
      <formula2>1000000000.0</formula2>
    </dataValidation>
    <dataValidation sqref="E17" showDropDown="0" showInputMessage="0" showErrorMessage="1" allowBlank="1" errorTitle="Ugyldig tall" error="Oppgi et heltall mellom 0 og 100000." type="whole" operator="between">
      <formula1>0</formula1>
      <formula2>100000</formula2>
    </dataValidation>
    <dataValidation sqref="E18" showDropDown="0" showInputMessage="0" showErrorMessage="1" allowBlank="1" errorTitle="Ugyldig tall" error="Oppgi et tall mellom 0 og 1000000000.0." type="decimal" operator="between">
      <formula1>0</formula1>
      <formula2>1000000000.0</formula2>
    </dataValidation>
    <dataValidation sqref="E33" showDropDown="0" showInputMessage="0" showErrorMessage="1" allowBlank="1" errorTitle="Ugyldig tall" error="Oppgi et tall mellom -1 og 10000." type="decimal" operator="between">
      <formula1>-1</formula1>
      <formula2>10000</formula2>
    </dataValidation>
  </dataValidations>
  <hyperlinks>
    <hyperlink ref="A36" r:id="rId2" location="'Bend'!A1" display="Bend, Y- og T-stykker →"/>
    <hyperlink ref="A37" r:id="rId3" location="'Ventiler'!A1" display="Ventiler: antall og Δp per ventil →"/>
    <hyperlink ref="A38" r:id="rId4" location="'Komponenter'!A1" display="Andre komponenter: antall og Δp →"/>
  </hyperlinks>
  <printOptions headings="false" gridLines="false" gridLinesSet="true" horizontalCentered="false" verticalCentered="false"/>
  <pageMargins left="0.25" right="0.25" top="0.35" bottom="0.35" header="0.511811023622047" footer="0.15"/>
  <pageSetup paperSize="8" scale="100" fitToWidth="1" fitToHeight="1" pageOrder="downThenOver" orientation="landscape" blackAndWhite="false" draft="false" cellComments="none" horizontalDpi="300" verticalDpi="300" copies="1"/>
  <headerFooter differentFirst="false" differentOddEven="false">
    <oddHeader/>
    <oddFooter>&amp;C&amp;8 R-rdimensjonering | &amp;A | side &amp;P av &amp;N</oddFooter>
  </headerFooter>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C"/>
    <pageSetUpPr fitToPage="true"/>
  </sheetPr>
  <dimension ref="A1:K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11"/>
    <col collapsed="false" customWidth="true" hidden="false" outlineLevel="0" max="4" min="4" style="0" width="14"/>
    <col collapsed="false" customWidth="true" hidden="false" outlineLevel="0" max="5" min="5" style="0" width="15"/>
    <col collapsed="false" customWidth="true" hidden="false" outlineLevel="0" max="6" min="6" style="0" width="14"/>
    <col collapsed="false" customWidth="true" hidden="false" outlineLevel="0" max="7" min="7" style="0" width="15"/>
    <col collapsed="false" customWidth="true" hidden="false" outlineLevel="0" max="8" min="8" style="0" width="18"/>
    <col collapsed="false" customWidth="true" hidden="false" outlineLevel="0" max="9" min="9" style="0" width="19"/>
    <col collapsed="false" customWidth="true" hidden="false" outlineLevel="0" max="10" min="10" style="0" width="43"/>
    <col collapsed="false" customWidth="true" hidden="false" outlineLevel="0" max="11" min="11" style="0" width="38"/>
  </cols>
  <sheetData>
    <row r="1" customFormat="false" ht="22.5" hidden="false" customHeight="true" outlineLevel="0" collapsed="false">
      <c r="A1" s="1" t="s">
        <v>61</v>
      </c>
      <c r="B1" s="1"/>
      <c r="C1" s="1"/>
      <c r="D1" s="1"/>
      <c r="E1" s="1"/>
      <c r="F1" s="1"/>
      <c r="G1" s="1"/>
      <c r="H1" s="1"/>
      <c r="I1" s="1"/>
      <c r="J1" s="1"/>
      <c r="K1" s="1"/>
    </row>
    <row r="2" customFormat="false" ht="22.5" hidden="false" customHeight="true" outlineLevel="0" collapsed="false">
      <c r="A2" s="1"/>
      <c r="B2" s="1"/>
      <c r="C2" s="1"/>
      <c r="D2" s="1"/>
      <c r="E2" s="1"/>
      <c r="F2" s="1"/>
      <c r="G2" s="1"/>
      <c r="H2" s="1"/>
      <c r="I2" s="1"/>
      <c r="J2" s="1"/>
      <c r="K2" s="1"/>
    </row>
    <row r="3" customFormat="false" ht="22.5" hidden="false" customHeight="true" outlineLevel="0" collapsed="false">
      <c r="A3" s="2" t="s">
        <v>62</v>
      </c>
      <c r="B3" s="2"/>
      <c r="C3" s="2"/>
      <c r="D3" s="2"/>
      <c r="E3" s="2"/>
      <c r="F3" s="2"/>
      <c r="G3" s="2"/>
      <c r="H3" s="2"/>
      <c r="I3" s="2"/>
      <c r="J3" s="2"/>
      <c r="K3" s="2"/>
    </row>
    <row r="4" customFormat="false" ht="22.5" hidden="false" customHeight="true" outlineLevel="0" collapsed="false">
      <c r="A4" s="27" t="s">
        <v>63</v>
      </c>
      <c r="B4" s="27"/>
      <c r="C4" s="27"/>
      <c r="D4" s="27"/>
      <c r="E4" s="27"/>
      <c r="F4" s="27"/>
      <c r="G4" s="27"/>
      <c r="H4" s="27"/>
      <c r="I4" s="27"/>
      <c r="J4" s="27"/>
      <c r="K4" s="27"/>
    </row>
    <row r="5" customFormat="false" ht="22.5" hidden="false" customHeight="true" outlineLevel="0" collapsed="false">
      <c r="A5" s="28" t="s">
        <v>64</v>
      </c>
      <c r="B5" s="28"/>
      <c r="C5" s="28"/>
      <c r="D5" s="28"/>
      <c r="E5" s="28"/>
      <c r="F5" s="28"/>
      <c r="G5" s="28"/>
      <c r="H5" s="28"/>
      <c r="I5" s="28"/>
      <c r="J5" s="28"/>
      <c r="K5" s="28"/>
    </row>
    <row r="6" customFormat="false" ht="36" hidden="false" customHeight="true" outlineLevel="0" collapsed="false">
      <c r="A6" s="29" t="s">
        <v>65</v>
      </c>
      <c r="B6" s="29" t="s">
        <v>66</v>
      </c>
      <c r="C6" s="29" t="s">
        <v>67</v>
      </c>
      <c r="D6" s="29" t="s">
        <v>68</v>
      </c>
      <c r="E6" s="29" t="s">
        <v>69</v>
      </c>
      <c r="F6" s="29" t="s">
        <v>70</v>
      </c>
      <c r="G6" s="29" t="s">
        <v>71</v>
      </c>
      <c r="H6" s="29" t="s">
        <v>72</v>
      </c>
      <c r="I6" s="29" t="s">
        <v>73</v>
      </c>
      <c r="J6" s="29" t="s">
        <v>74</v>
      </c>
      <c r="K6" s="29" t="s">
        <v>75</v>
      </c>
    </row>
    <row r="7" customFormat="false" ht="22.5" hidden="false" customHeight="true" outlineLevel="0" collapsed="false">
      <c r="A7" s="16" t="s">
        <v>76</v>
      </c>
      <c r="B7" s="18" t="n">
        <v>90</v>
      </c>
      <c r="C7" s="18" t="n">
        <v>4</v>
      </c>
      <c r="D7" s="16"/>
      <c r="E7" s="30" t="n">
        <f aca="false">IFERROR(IF(AND(LEFT(A7,4)="Bend",B7&gt;0,B7&lt;=180,(IF(D7="",IFERROR(VLOOKUP(A7,Benddata,2,FALSE()),0),D7))&gt;=0.5,Beregning!$B$3="OK"),Beregning!$B$23*RADIANS(B7)*(IF(D7="",IFERROR(VLOOKUP(A7,Benddata,2,FALSE()),0),D7))+(0.1+2.4*Beregning!$B$23)*SIN(RADIANS(B7)/2)+6.6*Beregning!$B$23*(SQRT(SIN(RADIANS(B7)/2))+SIN(RADIANS(B7)/2))/((IF(D7="",IFERROR(VLOOKUP(A7,Benddata,2,FALSE()),0),D7))^(4*RADIANS(B7)/PI())),""),"")</f>
        <v>0.238536804751557</v>
      </c>
      <c r="F7" s="16"/>
      <c r="G7" s="30" t="n">
        <f aca="false">IF(F7&lt;&gt;"",F7,E7)</f>
        <v>0.238536804751557</v>
      </c>
      <c r="H7" s="14" t="n">
        <f aca="false">IF(J7="OK",G7*Beregning!$B$25/1000,"")</f>
        <v>0.416626998986367</v>
      </c>
      <c r="I7" s="14" t="n">
        <f aca="false">IF(J7="OK",C7*H7,"")</f>
        <v>1.66650799594547</v>
      </c>
      <c r="J7" s="29" t="str">
        <f aca="false">IFERROR(IF(OR(C7="",C7=0),"Ikke med",IF(OR(NOT(ISNUMBER(C7)),C7&lt;0,C7&lt;&gt;INT(C7)),"FEIL: antall",IF(COUNTIF(Bendtyper,A7)=0,"FEIL: velg type",IF(Beregning!$B$3&lt;&gt;"OK","Venter på inndata",IF(F7&lt;&gt;"",IF(OR(NOT(ISNUMBER(F7)),F7&lt;0),"FEIL: eget K","OK"),IF(LEFT(A7,4)&lt;&gt;"Bend","FEIL: oppgi eget K",IF(OR(NOT(ISNUMBER(B7)),B7&lt;=0,B7&gt;180,(IF(D7="",IFERROR(VLOOKUP(A7,Benddata,2,FALSE()),0),D7))&lt;0.5,NOT(ISNUMBER(IF(D7="",IFERROR(VLOOKUP(A7,Benddata,2,FALSE()),0),D7)))),"FEIL: vinkel eller R/Di",IF(AND(Beregning!$B$14&gt;0,Beregning!$B$14&lt;4000),"FEIL: eget K ved Re&lt;4000","OK")))))))),"FEIL: kontroller tall")</f>
        <v>OK</v>
      </c>
      <c r="K7" s="16"/>
    </row>
    <row r="8" customFormat="false" ht="22.5" hidden="false" customHeight="true" outlineLevel="0" collapsed="false">
      <c r="A8" s="16" t="s">
        <v>76</v>
      </c>
      <c r="B8" s="18" t="n">
        <v>45</v>
      </c>
      <c r="C8" s="18" t="n">
        <v>2</v>
      </c>
      <c r="D8" s="16"/>
      <c r="E8" s="30" t="n">
        <f aca="false">IFERROR(IF(AND(LEFT(A8,4)="Bend",B8&gt;0,B8&lt;=180,(IF(D8="",IFERROR(VLOOKUP(A8,Benddata,2,FALSE()),0),D8))&gt;=0.5,Beregning!$B$3="OK"),Beregning!$B$23*RADIANS(B8)*(IF(D8="",IFERROR(VLOOKUP(A8,Benddata,2,FALSE()),0),D8))+(0.1+2.4*Beregning!$B$23)*SIN(RADIANS(B8)/2)+6.6*Beregning!$B$23*(SQRT(SIN(RADIANS(B8)/2))+SIN(RADIANS(B8)/2))/((IF(D8="",IFERROR(VLOOKUP(A8,Benddata,2,FALSE()),0),D8))^(4*RADIANS(B8)/PI())),""),"")</f>
        <v>0.165245216109031</v>
      </c>
      <c r="F8" s="16"/>
      <c r="G8" s="30" t="n">
        <f aca="false">IF(F8&lt;&gt;"",F8,E8)</f>
        <v>0.165245216109031</v>
      </c>
      <c r="H8" s="14" t="n">
        <f aca="false">IF(J8="OK",G8*Beregning!$B$25/1000,"")</f>
        <v>0.288616335563243</v>
      </c>
      <c r="I8" s="14" t="n">
        <f aca="false">IF(J8="OK",C8*H8,"")</f>
        <v>0.577232671126487</v>
      </c>
      <c r="J8" s="29" t="str">
        <f aca="false">IFERROR(IF(OR(C8="",C8=0),"Ikke med",IF(OR(NOT(ISNUMBER(C8)),C8&lt;0,C8&lt;&gt;INT(C8)),"FEIL: antall",IF(COUNTIF(Bendtyper,A8)=0,"FEIL: velg type",IF(Beregning!$B$3&lt;&gt;"OK","Venter på inndata",IF(F8&lt;&gt;"",IF(OR(NOT(ISNUMBER(F8)),F8&lt;0),"FEIL: eget K","OK"),IF(LEFT(A8,4)&lt;&gt;"Bend","FEIL: oppgi eget K",IF(OR(NOT(ISNUMBER(B8)),B8&lt;=0,B8&gt;180,(IF(D8="",IFERROR(VLOOKUP(A8,Benddata,2,FALSE()),0),D8))&lt;0.5,NOT(ISNUMBER(IF(D8="",IFERROR(VLOOKUP(A8,Benddata,2,FALSE()),0),D8)))),"FEIL: vinkel eller R/Di",IF(AND(Beregning!$B$14&gt;0,Beregning!$B$14&lt;4000),"FEIL: eget K ved Re&lt;4000","OK")))))))),"FEIL: kontroller tall")</f>
        <v>OK</v>
      </c>
      <c r="K8" s="16"/>
    </row>
    <row r="9" customFormat="false" ht="22.5" hidden="false" customHeight="true" outlineLevel="0" collapsed="false">
      <c r="A9" s="16" t="s">
        <v>77</v>
      </c>
      <c r="B9" s="18" t="n">
        <v>90</v>
      </c>
      <c r="C9" s="18" t="n">
        <v>0</v>
      </c>
      <c r="D9" s="16"/>
      <c r="E9" s="30" t="str">
        <f aca="false">IFERROR(IF(AND(LEFT(A9,4)="Bend",B9&gt;0,B9&lt;=180,(IF(D9="",IFERROR(VLOOKUP(A9,Benddata,2,FALSE()),0),D9))&gt;=0.5,Beregning!$B$3="OK"),Beregning!$B$23*RADIANS(B9)*(IF(D9="",IFERROR(VLOOKUP(A9,Benddata,2,FALSE()),0),D9))+(0.1+2.4*Beregning!$B$23)*SIN(RADIANS(B9)/2)+6.6*Beregning!$B$23*(SQRT(SIN(RADIANS(B9)/2))+SIN(RADIANS(B9)/2))/((IF(D9="",IFERROR(VLOOKUP(A9,Benddata,2,FALSE()),0),D9))^(4*RADIANS(B9)/PI())),""),"")</f>
        <v/>
      </c>
      <c r="F9" s="16"/>
      <c r="G9" s="30" t="str">
        <f aca="false">IF(F9&lt;&gt;"",F9,E9)</f>
        <v/>
      </c>
      <c r="H9" s="14" t="str">
        <f aca="false">IF(J9="OK",G9*Beregning!$B$25/1000,"")</f>
        <v/>
      </c>
      <c r="I9" s="14" t="str">
        <f aca="false">IF(J9="OK",C9*H9,"")</f>
        <v/>
      </c>
      <c r="J9" s="29" t="str">
        <f aca="false">IFERROR(IF(OR(C9="",C9=0),"Ikke med",IF(OR(NOT(ISNUMBER(C9)),C9&lt;0,C9&lt;&gt;INT(C9)),"FEIL: antall",IF(COUNTIF(Bendtyper,A9)=0,"FEIL: velg type",IF(Beregning!$B$3&lt;&gt;"OK","Venter på inndata",IF(F9&lt;&gt;"",IF(OR(NOT(ISNUMBER(F9)),F9&lt;0),"FEIL: eget K","OK"),IF(LEFT(A9,4)&lt;&gt;"Bend","FEIL: oppgi eget K",IF(OR(NOT(ISNUMBER(B9)),B9&lt;=0,B9&gt;180,(IF(D9="",IFERROR(VLOOKUP(A9,Benddata,2,FALSE()),0),D9))&lt;0.5,NOT(ISNUMBER(IF(D9="",IFERROR(VLOOKUP(A9,Benddata,2,FALSE()),0),D9)))),"FEIL: vinkel eller R/Di",IF(AND(Beregning!$B$14&gt;0,Beregning!$B$14&lt;4000),"FEIL: eget K ved Re&lt;4000","OK")))))))),"FEIL: kontroller tall")</f>
        <v>Ikke med</v>
      </c>
      <c r="K9" s="16"/>
    </row>
    <row r="10" customFormat="false" ht="22.5" hidden="false" customHeight="true" outlineLevel="0" collapsed="false">
      <c r="A10" s="16" t="s">
        <v>78</v>
      </c>
      <c r="B10" s="18" t="n">
        <v>45</v>
      </c>
      <c r="C10" s="18" t="n">
        <v>0</v>
      </c>
      <c r="D10" s="16"/>
      <c r="E10" s="30" t="str">
        <f aca="false">IFERROR(IF(AND(LEFT(A10,4)="Bend",B10&gt;0,B10&lt;=180,(IF(D10="",IFERROR(VLOOKUP(A10,Benddata,2,FALSE()),0),D10))&gt;=0.5,Beregning!$B$3="OK"),Beregning!$B$23*RADIANS(B10)*(IF(D10="",IFERROR(VLOOKUP(A10,Benddata,2,FALSE()),0),D10))+(0.1+2.4*Beregning!$B$23)*SIN(RADIANS(B10)/2)+6.6*Beregning!$B$23*(SQRT(SIN(RADIANS(B10)/2))+SIN(RADIANS(B10)/2))/((IF(D10="",IFERROR(VLOOKUP(A10,Benddata,2,FALSE()),0),D10))^(4*RADIANS(B10)/PI())),""),"")</f>
        <v/>
      </c>
      <c r="F10" s="16"/>
      <c r="G10" s="30" t="str">
        <f aca="false">IF(F10&lt;&gt;"",F10,E10)</f>
        <v/>
      </c>
      <c r="H10" s="14" t="str">
        <f aca="false">IF(J10="OK",G10*Beregning!$B$25/1000,"")</f>
        <v/>
      </c>
      <c r="I10" s="14" t="str">
        <f aca="false">IF(J10="OK",C10*H10,"")</f>
        <v/>
      </c>
      <c r="J10" s="29" t="str">
        <f aca="false">IFERROR(IF(OR(C10="",C10=0),"Ikke med",IF(OR(NOT(ISNUMBER(C10)),C10&lt;0,C10&lt;&gt;INT(C10)),"FEIL: antall",IF(COUNTIF(Bendtyper,A10)=0,"FEIL: velg type",IF(Beregning!$B$3&lt;&gt;"OK","Venter på inndata",IF(F10&lt;&gt;"",IF(OR(NOT(ISNUMBER(F10)),F10&lt;0),"FEIL: eget K","OK"),IF(LEFT(A10,4)&lt;&gt;"Bend","FEIL: oppgi eget K",IF(OR(NOT(ISNUMBER(B10)),B10&lt;=0,B10&gt;180,(IF(D10="",IFERROR(VLOOKUP(A10,Benddata,2,FALSE()),0),D10))&lt;0.5,NOT(ISNUMBER(IF(D10="",IFERROR(VLOOKUP(A10,Benddata,2,FALSE()),0),D10)))),"FEIL: vinkel eller R/Di",IF(AND(Beregning!$B$14&gt;0,Beregning!$B$14&lt;4000),"FEIL: eget K ved Re&lt;4000","OK")))))))),"FEIL: kontroller tall")</f>
        <v>Ikke med</v>
      </c>
      <c r="K10" s="16"/>
    </row>
    <row r="11" customFormat="false" ht="22.5" hidden="false" customHeight="true" outlineLevel="0" collapsed="false">
      <c r="A11" s="16" t="s">
        <v>79</v>
      </c>
      <c r="B11" s="18" t="n">
        <v>90</v>
      </c>
      <c r="C11" s="18" t="n">
        <v>0</v>
      </c>
      <c r="D11" s="16"/>
      <c r="E11" s="30" t="n">
        <f aca="false">IFERROR(IF(AND(LEFT(A11,4)="Bend",B11&gt;0,B11&lt;=180,(IF(D11="",IFERROR(VLOOKUP(A11,Benddata,2,FALSE()),0),D11))&gt;=0.5,Beregning!$B$3="OK"),Beregning!$B$23*RADIANS(B11)*(IF(D11="",IFERROR(VLOOKUP(A11,Benddata,2,FALSE()),0),D11))+(0.1+2.4*Beregning!$B$23)*SIN(RADIANS(B11)/2)+6.6*Beregning!$B$23*(SQRT(SIN(RADIANS(B11)/2))+SIN(RADIANS(B11)/2))/((IF(D11="",IFERROR(VLOOKUP(A11,Benddata,2,FALSE()),0),D11))^(4*RADIANS(B11)/PI())),""),"")</f>
        <v>0.334041457572071</v>
      </c>
      <c r="F11" s="16"/>
      <c r="G11" s="30" t="n">
        <f aca="false">IF(F11&lt;&gt;"",F11,E11)</f>
        <v>0.334041457572071</v>
      </c>
      <c r="H11" s="14" t="str">
        <f aca="false">IF(J11="OK",G11*Beregning!$B$25/1000,"")</f>
        <v/>
      </c>
      <c r="I11" s="14" t="str">
        <f aca="false">IF(J11="OK",C11*H11,"")</f>
        <v/>
      </c>
      <c r="J11" s="29" t="str">
        <f aca="false">IFERROR(IF(OR(C11="",C11=0),"Ikke med",IF(OR(NOT(ISNUMBER(C11)),C11&lt;0,C11&lt;&gt;INT(C11)),"FEIL: antall",IF(COUNTIF(Bendtyper,A11)=0,"FEIL: velg type",IF(Beregning!$B$3&lt;&gt;"OK","Venter på inndata",IF(F11&lt;&gt;"",IF(OR(NOT(ISNUMBER(F11)),F11&lt;0),"FEIL: eget K","OK"),IF(LEFT(A11,4)&lt;&gt;"Bend","FEIL: oppgi eget K",IF(OR(NOT(ISNUMBER(B11)),B11&lt;=0,B11&gt;180,(IF(D11="",IFERROR(VLOOKUP(A11,Benddata,2,FALSE()),0),D11))&lt;0.5,NOT(ISNUMBER(IF(D11="",IFERROR(VLOOKUP(A11,Benddata,2,FALSE()),0),D11)))),"FEIL: vinkel eller R/Di",IF(AND(Beregning!$B$14&gt;0,Beregning!$B$14&lt;4000),"FEIL: eget K ved Re&lt;4000","OK")))))))),"FEIL: kontroller tall")</f>
        <v>Ikke med</v>
      </c>
      <c r="K11" s="16"/>
    </row>
    <row r="12" customFormat="false" ht="22.5" hidden="false" customHeight="true" outlineLevel="0" collapsed="false">
      <c r="A12" s="16"/>
      <c r="B12" s="18"/>
      <c r="C12" s="18" t="n">
        <v>0</v>
      </c>
      <c r="D12" s="16"/>
      <c r="E12" s="30" t="str">
        <f aca="false">IFERROR(IF(AND(LEFT(A12,4)="Bend",B12&gt;0,B12&lt;=180,(IF(D12="",IFERROR(VLOOKUP(A12,Benddata,2,FALSE()),0),D12))&gt;=0.5,Beregning!$B$3="OK"),Beregning!$B$23*RADIANS(B12)*(IF(D12="",IFERROR(VLOOKUP(A12,Benddata,2,FALSE()),0),D12))+(0.1+2.4*Beregning!$B$23)*SIN(RADIANS(B12)/2)+6.6*Beregning!$B$23*(SQRT(SIN(RADIANS(B12)/2))+SIN(RADIANS(B12)/2))/((IF(D12="",IFERROR(VLOOKUP(A12,Benddata,2,FALSE()),0),D12))^(4*RADIANS(B12)/PI())),""),"")</f>
        <v/>
      </c>
      <c r="F12" s="16"/>
      <c r="G12" s="30" t="str">
        <f aca="false">IF(F12&lt;&gt;"",F12,E12)</f>
        <v/>
      </c>
      <c r="H12" s="14" t="str">
        <f aca="false">IF(J12="OK",G12*Beregning!$B$25/1000,"")</f>
        <v/>
      </c>
      <c r="I12" s="14" t="str">
        <f aca="false">IF(J12="OK",C12*H12,"")</f>
        <v/>
      </c>
      <c r="J12" s="29" t="str">
        <f aca="false">IFERROR(IF(OR(C12="",C12=0),"Ikke med",IF(OR(NOT(ISNUMBER(C12)),C12&lt;0,C12&lt;&gt;INT(C12)),"FEIL: antall",IF(COUNTIF(Bendtyper,A12)=0,"FEIL: velg type",IF(Beregning!$B$3&lt;&gt;"OK","Venter på inndata",IF(F12&lt;&gt;"",IF(OR(NOT(ISNUMBER(F12)),F12&lt;0),"FEIL: eget K","OK"),IF(LEFT(A12,4)&lt;&gt;"Bend","FEIL: oppgi eget K",IF(OR(NOT(ISNUMBER(B12)),B12&lt;=0,B12&gt;180,(IF(D12="",IFERROR(VLOOKUP(A12,Benddata,2,FALSE()),0),D12))&lt;0.5,NOT(ISNUMBER(IF(D12="",IFERROR(VLOOKUP(A12,Benddata,2,FALSE()),0),D12)))),"FEIL: vinkel eller R/Di",IF(AND(Beregning!$B$14&gt;0,Beregning!$B$14&lt;4000),"FEIL: eget K ved Re&lt;4000","OK")))))))),"FEIL: kontroller tall")</f>
        <v>Ikke med</v>
      </c>
      <c r="K12" s="16"/>
    </row>
    <row r="13" customFormat="false" ht="22.5" hidden="false" customHeight="true" outlineLevel="0" collapsed="false">
      <c r="A13" s="16"/>
      <c r="B13" s="18"/>
      <c r="C13" s="18" t="n">
        <v>0</v>
      </c>
      <c r="D13" s="16"/>
      <c r="E13" s="30" t="str">
        <f aca="false">IFERROR(IF(AND(LEFT(A13,4)="Bend",B13&gt;0,B13&lt;=180,(IF(D13="",IFERROR(VLOOKUP(A13,Benddata,2,FALSE()),0),D13))&gt;=0.5,Beregning!$B$3="OK"),Beregning!$B$23*RADIANS(B13)*(IF(D13="",IFERROR(VLOOKUP(A13,Benddata,2,FALSE()),0),D13))+(0.1+2.4*Beregning!$B$23)*SIN(RADIANS(B13)/2)+6.6*Beregning!$B$23*(SQRT(SIN(RADIANS(B13)/2))+SIN(RADIANS(B13)/2))/((IF(D13="",IFERROR(VLOOKUP(A13,Benddata,2,FALSE()),0),D13))^(4*RADIANS(B13)/PI())),""),"")</f>
        <v/>
      </c>
      <c r="F13" s="16"/>
      <c r="G13" s="30" t="str">
        <f aca="false">IF(F13&lt;&gt;"",F13,E13)</f>
        <v/>
      </c>
      <c r="H13" s="14" t="str">
        <f aca="false">IF(J13="OK",G13*Beregning!$B$25/1000,"")</f>
        <v/>
      </c>
      <c r="I13" s="14" t="str">
        <f aca="false">IF(J13="OK",C13*H13,"")</f>
        <v/>
      </c>
      <c r="J13" s="29" t="str">
        <f aca="false">IFERROR(IF(OR(C13="",C13=0),"Ikke med",IF(OR(NOT(ISNUMBER(C13)),C13&lt;0,C13&lt;&gt;INT(C13)),"FEIL: antall",IF(COUNTIF(Bendtyper,A13)=0,"FEIL: velg type",IF(Beregning!$B$3&lt;&gt;"OK","Venter på inndata",IF(F13&lt;&gt;"",IF(OR(NOT(ISNUMBER(F13)),F13&lt;0),"FEIL: eget K","OK"),IF(LEFT(A13,4)&lt;&gt;"Bend","FEIL: oppgi eget K",IF(OR(NOT(ISNUMBER(B13)),B13&lt;=0,B13&gt;180,(IF(D13="",IFERROR(VLOOKUP(A13,Benddata,2,FALSE()),0),D13))&lt;0.5,NOT(ISNUMBER(IF(D13="",IFERROR(VLOOKUP(A13,Benddata,2,FALSE()),0),D13)))),"FEIL: vinkel eller R/Di",IF(AND(Beregning!$B$14&gt;0,Beregning!$B$14&lt;4000),"FEIL: eget K ved Re&lt;4000","OK")))))))),"FEIL: kontroller tall")</f>
        <v>Ikke med</v>
      </c>
      <c r="K13" s="16"/>
    </row>
    <row r="14" customFormat="false" ht="22.5" hidden="false" customHeight="true" outlineLevel="0" collapsed="false">
      <c r="A14" s="16"/>
      <c r="B14" s="18"/>
      <c r="C14" s="18" t="n">
        <v>0</v>
      </c>
      <c r="D14" s="16"/>
      <c r="E14" s="30" t="str">
        <f aca="false">IFERROR(IF(AND(LEFT(A14,4)="Bend",B14&gt;0,B14&lt;=180,(IF(D14="",IFERROR(VLOOKUP(A14,Benddata,2,FALSE()),0),D14))&gt;=0.5,Beregning!$B$3="OK"),Beregning!$B$23*RADIANS(B14)*(IF(D14="",IFERROR(VLOOKUP(A14,Benddata,2,FALSE()),0),D14))+(0.1+2.4*Beregning!$B$23)*SIN(RADIANS(B14)/2)+6.6*Beregning!$B$23*(SQRT(SIN(RADIANS(B14)/2))+SIN(RADIANS(B14)/2))/((IF(D14="",IFERROR(VLOOKUP(A14,Benddata,2,FALSE()),0),D14))^(4*RADIANS(B14)/PI())),""),"")</f>
        <v/>
      </c>
      <c r="F14" s="16"/>
      <c r="G14" s="30" t="str">
        <f aca="false">IF(F14&lt;&gt;"",F14,E14)</f>
        <v/>
      </c>
      <c r="H14" s="14" t="str">
        <f aca="false">IF(J14="OK",G14*Beregning!$B$25/1000,"")</f>
        <v/>
      </c>
      <c r="I14" s="14" t="str">
        <f aca="false">IF(J14="OK",C14*H14,"")</f>
        <v/>
      </c>
      <c r="J14" s="29" t="str">
        <f aca="false">IFERROR(IF(OR(C14="",C14=0),"Ikke med",IF(OR(NOT(ISNUMBER(C14)),C14&lt;0,C14&lt;&gt;INT(C14)),"FEIL: antall",IF(COUNTIF(Bendtyper,A14)=0,"FEIL: velg type",IF(Beregning!$B$3&lt;&gt;"OK","Venter på inndata",IF(F14&lt;&gt;"",IF(OR(NOT(ISNUMBER(F14)),F14&lt;0),"FEIL: eget K","OK"),IF(LEFT(A14,4)&lt;&gt;"Bend","FEIL: oppgi eget K",IF(OR(NOT(ISNUMBER(B14)),B14&lt;=0,B14&gt;180,(IF(D14="",IFERROR(VLOOKUP(A14,Benddata,2,FALSE()),0),D14))&lt;0.5,NOT(ISNUMBER(IF(D14="",IFERROR(VLOOKUP(A14,Benddata,2,FALSE()),0),D14)))),"FEIL: vinkel eller R/Di",IF(AND(Beregning!$B$14&gt;0,Beregning!$B$14&lt;4000),"FEIL: eget K ved Re&lt;4000","OK")))))))),"FEIL: kontroller tall")</f>
        <v>Ikke med</v>
      </c>
      <c r="K14" s="16"/>
    </row>
    <row r="15" customFormat="false" ht="22.5" hidden="false" customHeight="true" outlineLevel="0" collapsed="false">
      <c r="A15" s="16"/>
      <c r="B15" s="18"/>
      <c r="C15" s="18" t="n">
        <v>0</v>
      </c>
      <c r="D15" s="16"/>
      <c r="E15" s="30" t="str">
        <f aca="false">IFERROR(IF(AND(LEFT(A15,4)="Bend",B15&gt;0,B15&lt;=180,(IF(D15="",IFERROR(VLOOKUP(A15,Benddata,2,FALSE()),0),D15))&gt;=0.5,Beregning!$B$3="OK"),Beregning!$B$23*RADIANS(B15)*(IF(D15="",IFERROR(VLOOKUP(A15,Benddata,2,FALSE()),0),D15))+(0.1+2.4*Beregning!$B$23)*SIN(RADIANS(B15)/2)+6.6*Beregning!$B$23*(SQRT(SIN(RADIANS(B15)/2))+SIN(RADIANS(B15)/2))/((IF(D15="",IFERROR(VLOOKUP(A15,Benddata,2,FALSE()),0),D15))^(4*RADIANS(B15)/PI())),""),"")</f>
        <v/>
      </c>
      <c r="F15" s="16"/>
      <c r="G15" s="30" t="str">
        <f aca="false">IF(F15&lt;&gt;"",F15,E15)</f>
        <v/>
      </c>
      <c r="H15" s="14" t="str">
        <f aca="false">IF(J15="OK",G15*Beregning!$B$25/1000,"")</f>
        <v/>
      </c>
      <c r="I15" s="14" t="str">
        <f aca="false">IF(J15="OK",C15*H15,"")</f>
        <v/>
      </c>
      <c r="J15" s="29" t="str">
        <f aca="false">IFERROR(IF(OR(C15="",C15=0),"Ikke med",IF(OR(NOT(ISNUMBER(C15)),C15&lt;0,C15&lt;&gt;INT(C15)),"FEIL: antall",IF(COUNTIF(Bendtyper,A15)=0,"FEIL: velg type",IF(Beregning!$B$3&lt;&gt;"OK","Venter på inndata",IF(F15&lt;&gt;"",IF(OR(NOT(ISNUMBER(F15)),F15&lt;0),"FEIL: eget K","OK"),IF(LEFT(A15,4)&lt;&gt;"Bend","FEIL: oppgi eget K",IF(OR(NOT(ISNUMBER(B15)),B15&lt;=0,B15&gt;180,(IF(D15="",IFERROR(VLOOKUP(A15,Benddata,2,FALSE()),0),D15))&lt;0.5,NOT(ISNUMBER(IF(D15="",IFERROR(VLOOKUP(A15,Benddata,2,FALSE()),0),D15)))),"FEIL: vinkel eller R/Di",IF(AND(Beregning!$B$14&gt;0,Beregning!$B$14&lt;4000),"FEIL: eget K ved Re&lt;4000","OK")))))))),"FEIL: kontroller tall")</f>
        <v>Ikke med</v>
      </c>
      <c r="K15" s="16"/>
    </row>
    <row r="16" customFormat="false" ht="22.5" hidden="false" customHeight="true" outlineLevel="0" collapsed="false">
      <c r="A16" s="16"/>
      <c r="B16" s="18"/>
      <c r="C16" s="18" t="n">
        <v>0</v>
      </c>
      <c r="D16" s="16"/>
      <c r="E16" s="30" t="str">
        <f aca="false">IFERROR(IF(AND(LEFT(A16,4)="Bend",B16&gt;0,B16&lt;=180,(IF(D16="",IFERROR(VLOOKUP(A16,Benddata,2,FALSE()),0),D16))&gt;=0.5,Beregning!$B$3="OK"),Beregning!$B$23*RADIANS(B16)*(IF(D16="",IFERROR(VLOOKUP(A16,Benddata,2,FALSE()),0),D16))+(0.1+2.4*Beregning!$B$23)*SIN(RADIANS(B16)/2)+6.6*Beregning!$B$23*(SQRT(SIN(RADIANS(B16)/2))+SIN(RADIANS(B16)/2))/((IF(D16="",IFERROR(VLOOKUP(A16,Benddata,2,FALSE()),0),D16))^(4*RADIANS(B16)/PI())),""),"")</f>
        <v/>
      </c>
      <c r="F16" s="16"/>
      <c r="G16" s="30" t="str">
        <f aca="false">IF(F16&lt;&gt;"",F16,E16)</f>
        <v/>
      </c>
      <c r="H16" s="14" t="str">
        <f aca="false">IF(J16="OK",G16*Beregning!$B$25/1000,"")</f>
        <v/>
      </c>
      <c r="I16" s="14" t="str">
        <f aca="false">IF(J16="OK",C16*H16,"")</f>
        <v/>
      </c>
      <c r="J16" s="29" t="str">
        <f aca="false">IFERROR(IF(OR(C16="",C16=0),"Ikke med",IF(OR(NOT(ISNUMBER(C16)),C16&lt;0,C16&lt;&gt;INT(C16)),"FEIL: antall",IF(COUNTIF(Bendtyper,A16)=0,"FEIL: velg type",IF(Beregning!$B$3&lt;&gt;"OK","Venter på inndata",IF(F16&lt;&gt;"",IF(OR(NOT(ISNUMBER(F16)),F16&lt;0),"FEIL: eget K","OK"),IF(LEFT(A16,4)&lt;&gt;"Bend","FEIL: oppgi eget K",IF(OR(NOT(ISNUMBER(B16)),B16&lt;=0,B16&gt;180,(IF(D16="",IFERROR(VLOOKUP(A16,Benddata,2,FALSE()),0),D16))&lt;0.5,NOT(ISNUMBER(IF(D16="",IFERROR(VLOOKUP(A16,Benddata,2,FALSE()),0),D16)))),"FEIL: vinkel eller R/Di",IF(AND(Beregning!$B$14&gt;0,Beregning!$B$14&lt;4000),"FEIL: eget K ved Re&lt;4000","OK")))))))),"FEIL: kontroller tall")</f>
        <v>Ikke med</v>
      </c>
      <c r="K16" s="16"/>
    </row>
    <row r="17" customFormat="false" ht="22.5" hidden="false" customHeight="true" outlineLevel="0" collapsed="false">
      <c r="A17" s="16"/>
      <c r="B17" s="18"/>
      <c r="C17" s="18" t="n">
        <v>0</v>
      </c>
      <c r="D17" s="16"/>
      <c r="E17" s="30" t="str">
        <f aca="false">IFERROR(IF(AND(LEFT(A17,4)="Bend",B17&gt;0,B17&lt;=180,(IF(D17="",IFERROR(VLOOKUP(A17,Benddata,2,FALSE()),0),D17))&gt;=0.5,Beregning!$B$3="OK"),Beregning!$B$23*RADIANS(B17)*(IF(D17="",IFERROR(VLOOKUP(A17,Benddata,2,FALSE()),0),D17))+(0.1+2.4*Beregning!$B$23)*SIN(RADIANS(B17)/2)+6.6*Beregning!$B$23*(SQRT(SIN(RADIANS(B17)/2))+SIN(RADIANS(B17)/2))/((IF(D17="",IFERROR(VLOOKUP(A17,Benddata,2,FALSE()),0),D17))^(4*RADIANS(B17)/PI())),""),"")</f>
        <v/>
      </c>
      <c r="F17" s="16"/>
      <c r="G17" s="30" t="str">
        <f aca="false">IF(F17&lt;&gt;"",F17,E17)</f>
        <v/>
      </c>
      <c r="H17" s="14" t="str">
        <f aca="false">IF(J17="OK",G17*Beregning!$B$25/1000,"")</f>
        <v/>
      </c>
      <c r="I17" s="14" t="str">
        <f aca="false">IF(J17="OK",C17*H17,"")</f>
        <v/>
      </c>
      <c r="J17" s="29" t="str">
        <f aca="false">IFERROR(IF(OR(C17="",C17=0),"Ikke med",IF(OR(NOT(ISNUMBER(C17)),C17&lt;0,C17&lt;&gt;INT(C17)),"FEIL: antall",IF(COUNTIF(Bendtyper,A17)=0,"FEIL: velg type",IF(Beregning!$B$3&lt;&gt;"OK","Venter på inndata",IF(F17&lt;&gt;"",IF(OR(NOT(ISNUMBER(F17)),F17&lt;0),"FEIL: eget K","OK"),IF(LEFT(A17,4)&lt;&gt;"Bend","FEIL: oppgi eget K",IF(OR(NOT(ISNUMBER(B17)),B17&lt;=0,B17&gt;180,(IF(D17="",IFERROR(VLOOKUP(A17,Benddata,2,FALSE()),0),D17))&lt;0.5,NOT(ISNUMBER(IF(D17="",IFERROR(VLOOKUP(A17,Benddata,2,FALSE()),0),D17)))),"FEIL: vinkel eller R/Di",IF(AND(Beregning!$B$14&gt;0,Beregning!$B$14&lt;4000),"FEIL: eget K ved Re&lt;4000","OK")))))))),"FEIL: kontroller tall")</f>
        <v>Ikke med</v>
      </c>
      <c r="K17" s="16"/>
    </row>
    <row r="18" customFormat="false" ht="22.5" hidden="false" customHeight="true" outlineLevel="0" collapsed="false">
      <c r="A18" s="16"/>
      <c r="B18" s="18"/>
      <c r="C18" s="18" t="n">
        <v>0</v>
      </c>
      <c r="D18" s="16"/>
      <c r="E18" s="30" t="str">
        <f aca="false">IFERROR(IF(AND(LEFT(A18,4)="Bend",B18&gt;0,B18&lt;=180,(IF(D18="",IFERROR(VLOOKUP(A18,Benddata,2,FALSE()),0),D18))&gt;=0.5,Beregning!$B$3="OK"),Beregning!$B$23*RADIANS(B18)*(IF(D18="",IFERROR(VLOOKUP(A18,Benddata,2,FALSE()),0),D18))+(0.1+2.4*Beregning!$B$23)*SIN(RADIANS(B18)/2)+6.6*Beregning!$B$23*(SQRT(SIN(RADIANS(B18)/2))+SIN(RADIANS(B18)/2))/((IF(D18="",IFERROR(VLOOKUP(A18,Benddata,2,FALSE()),0),D18))^(4*RADIANS(B18)/PI())),""),"")</f>
        <v/>
      </c>
      <c r="F18" s="16"/>
      <c r="G18" s="30" t="str">
        <f aca="false">IF(F18&lt;&gt;"",F18,E18)</f>
        <v/>
      </c>
      <c r="H18" s="14" t="str">
        <f aca="false">IF(J18="OK",G18*Beregning!$B$25/1000,"")</f>
        <v/>
      </c>
      <c r="I18" s="14" t="str">
        <f aca="false">IF(J18="OK",C18*H18,"")</f>
        <v/>
      </c>
      <c r="J18" s="29" t="str">
        <f aca="false">IFERROR(IF(OR(C18="",C18=0),"Ikke med",IF(OR(NOT(ISNUMBER(C18)),C18&lt;0,C18&lt;&gt;INT(C18)),"FEIL: antall",IF(COUNTIF(Bendtyper,A18)=0,"FEIL: velg type",IF(Beregning!$B$3&lt;&gt;"OK","Venter på inndata",IF(F18&lt;&gt;"",IF(OR(NOT(ISNUMBER(F18)),F18&lt;0),"FEIL: eget K","OK"),IF(LEFT(A18,4)&lt;&gt;"Bend","FEIL: oppgi eget K",IF(OR(NOT(ISNUMBER(B18)),B18&lt;=0,B18&gt;180,(IF(D18="",IFERROR(VLOOKUP(A18,Benddata,2,FALSE()),0),D18))&lt;0.5,NOT(ISNUMBER(IF(D18="",IFERROR(VLOOKUP(A18,Benddata,2,FALSE()),0),D18)))),"FEIL: vinkel eller R/Di",IF(AND(Beregning!$B$14&gt;0,Beregning!$B$14&lt;4000),"FEIL: eget K ved Re&lt;4000","OK")))))))),"FEIL: kontroller tall")</f>
        <v>Ikke med</v>
      </c>
      <c r="K18" s="16"/>
    </row>
    <row r="19" customFormat="false" ht="22.5" hidden="false" customHeight="true" outlineLevel="0" collapsed="false">
      <c r="A19" s="16"/>
      <c r="B19" s="18"/>
      <c r="C19" s="18" t="n">
        <v>0</v>
      </c>
      <c r="D19" s="16"/>
      <c r="E19" s="30" t="str">
        <f aca="false">IFERROR(IF(AND(LEFT(A19,4)="Bend",B19&gt;0,B19&lt;=180,(IF(D19="",IFERROR(VLOOKUP(A19,Benddata,2,FALSE()),0),D19))&gt;=0.5,Beregning!$B$3="OK"),Beregning!$B$23*RADIANS(B19)*(IF(D19="",IFERROR(VLOOKUP(A19,Benddata,2,FALSE()),0),D19))+(0.1+2.4*Beregning!$B$23)*SIN(RADIANS(B19)/2)+6.6*Beregning!$B$23*(SQRT(SIN(RADIANS(B19)/2))+SIN(RADIANS(B19)/2))/((IF(D19="",IFERROR(VLOOKUP(A19,Benddata,2,FALSE()),0),D19))^(4*RADIANS(B19)/PI())),""),"")</f>
        <v/>
      </c>
      <c r="F19" s="16"/>
      <c r="G19" s="30" t="str">
        <f aca="false">IF(F19&lt;&gt;"",F19,E19)</f>
        <v/>
      </c>
      <c r="H19" s="14" t="str">
        <f aca="false">IF(J19="OK",G19*Beregning!$B$25/1000,"")</f>
        <v/>
      </c>
      <c r="I19" s="14" t="str">
        <f aca="false">IF(J19="OK",C19*H19,"")</f>
        <v/>
      </c>
      <c r="J19" s="29" t="str">
        <f aca="false">IFERROR(IF(OR(C19="",C19=0),"Ikke med",IF(OR(NOT(ISNUMBER(C19)),C19&lt;0,C19&lt;&gt;INT(C19)),"FEIL: antall",IF(COUNTIF(Bendtyper,A19)=0,"FEIL: velg type",IF(Beregning!$B$3&lt;&gt;"OK","Venter på inndata",IF(F19&lt;&gt;"",IF(OR(NOT(ISNUMBER(F19)),F19&lt;0),"FEIL: eget K","OK"),IF(LEFT(A19,4)&lt;&gt;"Bend","FEIL: oppgi eget K",IF(OR(NOT(ISNUMBER(B19)),B19&lt;=0,B19&gt;180,(IF(D19="",IFERROR(VLOOKUP(A19,Benddata,2,FALSE()),0),D19))&lt;0.5,NOT(ISNUMBER(IF(D19="",IFERROR(VLOOKUP(A19,Benddata,2,FALSE()),0),D19)))),"FEIL: vinkel eller R/Di",IF(AND(Beregning!$B$14&gt;0,Beregning!$B$14&lt;4000),"FEIL: eget K ved Re&lt;4000","OK")))))))),"FEIL: kontroller tall")</f>
        <v>Ikke med</v>
      </c>
      <c r="K19" s="16"/>
    </row>
    <row r="20" customFormat="false" ht="22.5" hidden="false" customHeight="true" outlineLevel="0" collapsed="false">
      <c r="A20" s="16"/>
      <c r="B20" s="18"/>
      <c r="C20" s="18" t="n">
        <v>0</v>
      </c>
      <c r="D20" s="16"/>
      <c r="E20" s="30" t="str">
        <f aca="false">IFERROR(IF(AND(LEFT(A20,4)="Bend",B20&gt;0,B20&lt;=180,(IF(D20="",IFERROR(VLOOKUP(A20,Benddata,2,FALSE()),0),D20))&gt;=0.5,Beregning!$B$3="OK"),Beregning!$B$23*RADIANS(B20)*(IF(D20="",IFERROR(VLOOKUP(A20,Benddata,2,FALSE()),0),D20))+(0.1+2.4*Beregning!$B$23)*SIN(RADIANS(B20)/2)+6.6*Beregning!$B$23*(SQRT(SIN(RADIANS(B20)/2))+SIN(RADIANS(B20)/2))/((IF(D20="",IFERROR(VLOOKUP(A20,Benddata,2,FALSE()),0),D20))^(4*RADIANS(B20)/PI())),""),"")</f>
        <v/>
      </c>
      <c r="F20" s="16"/>
      <c r="G20" s="30" t="str">
        <f aca="false">IF(F20&lt;&gt;"",F20,E20)</f>
        <v/>
      </c>
      <c r="H20" s="14" t="str">
        <f aca="false">IF(J20="OK",G20*Beregning!$B$25/1000,"")</f>
        <v/>
      </c>
      <c r="I20" s="14" t="str">
        <f aca="false">IF(J20="OK",C20*H20,"")</f>
        <v/>
      </c>
      <c r="J20" s="29" t="str">
        <f aca="false">IFERROR(IF(OR(C20="",C20=0),"Ikke med",IF(OR(NOT(ISNUMBER(C20)),C20&lt;0,C20&lt;&gt;INT(C20)),"FEIL: antall",IF(COUNTIF(Bendtyper,A20)=0,"FEIL: velg type",IF(Beregning!$B$3&lt;&gt;"OK","Venter på inndata",IF(F20&lt;&gt;"",IF(OR(NOT(ISNUMBER(F20)),F20&lt;0),"FEIL: eget K","OK"),IF(LEFT(A20,4)&lt;&gt;"Bend","FEIL: oppgi eget K",IF(OR(NOT(ISNUMBER(B20)),B20&lt;=0,B20&gt;180,(IF(D20="",IFERROR(VLOOKUP(A20,Benddata,2,FALSE()),0),D20))&lt;0.5,NOT(ISNUMBER(IF(D20="",IFERROR(VLOOKUP(A20,Benddata,2,FALSE()),0),D20)))),"FEIL: vinkel eller R/Di",IF(AND(Beregning!$B$14&gt;0,Beregning!$B$14&lt;4000),"FEIL: eget K ved Re&lt;4000","OK")))))))),"FEIL: kontroller tall")</f>
        <v>Ikke med</v>
      </c>
      <c r="K20" s="16"/>
    </row>
    <row r="21" customFormat="false" ht="22.5" hidden="false" customHeight="true" outlineLevel="0" collapsed="false">
      <c r="A21" s="16"/>
      <c r="B21" s="18"/>
      <c r="C21" s="18" t="n">
        <v>0</v>
      </c>
      <c r="D21" s="16"/>
      <c r="E21" s="30" t="str">
        <f aca="false">IFERROR(IF(AND(LEFT(A21,4)="Bend",B21&gt;0,B21&lt;=180,(IF(D21="",IFERROR(VLOOKUP(A21,Benddata,2,FALSE()),0),D21))&gt;=0.5,Beregning!$B$3="OK"),Beregning!$B$23*RADIANS(B21)*(IF(D21="",IFERROR(VLOOKUP(A21,Benddata,2,FALSE()),0),D21))+(0.1+2.4*Beregning!$B$23)*SIN(RADIANS(B21)/2)+6.6*Beregning!$B$23*(SQRT(SIN(RADIANS(B21)/2))+SIN(RADIANS(B21)/2))/((IF(D21="",IFERROR(VLOOKUP(A21,Benddata,2,FALSE()),0),D21))^(4*RADIANS(B21)/PI())),""),"")</f>
        <v/>
      </c>
      <c r="F21" s="16"/>
      <c r="G21" s="30" t="str">
        <f aca="false">IF(F21&lt;&gt;"",F21,E21)</f>
        <v/>
      </c>
      <c r="H21" s="14" t="str">
        <f aca="false">IF(J21="OK",G21*Beregning!$B$25/1000,"")</f>
        <v/>
      </c>
      <c r="I21" s="14" t="str">
        <f aca="false">IF(J21="OK",C21*H21,"")</f>
        <v/>
      </c>
      <c r="J21" s="29" t="str">
        <f aca="false">IFERROR(IF(OR(C21="",C21=0),"Ikke med",IF(OR(NOT(ISNUMBER(C21)),C21&lt;0,C21&lt;&gt;INT(C21)),"FEIL: antall",IF(COUNTIF(Bendtyper,A21)=0,"FEIL: velg type",IF(Beregning!$B$3&lt;&gt;"OK","Venter på inndata",IF(F21&lt;&gt;"",IF(OR(NOT(ISNUMBER(F21)),F21&lt;0),"FEIL: eget K","OK"),IF(LEFT(A21,4)&lt;&gt;"Bend","FEIL: oppgi eget K",IF(OR(NOT(ISNUMBER(B21)),B21&lt;=0,B21&gt;180,(IF(D21="",IFERROR(VLOOKUP(A21,Benddata,2,FALSE()),0),D21))&lt;0.5,NOT(ISNUMBER(IF(D21="",IFERROR(VLOOKUP(A21,Benddata,2,FALSE()),0),D21)))),"FEIL: vinkel eller R/Di",IF(AND(Beregning!$B$14&gt;0,Beregning!$B$14&lt;4000),"FEIL: eget K ved Re&lt;4000","OK")))))))),"FEIL: kontroller tall")</f>
        <v>Ikke med</v>
      </c>
      <c r="K21" s="16"/>
    </row>
    <row r="22" customFormat="false" ht="22.5" hidden="false" customHeight="true" outlineLevel="0" collapsed="false">
      <c r="A22" s="16"/>
      <c r="B22" s="18"/>
      <c r="C22" s="18" t="n">
        <v>0</v>
      </c>
      <c r="D22" s="16"/>
      <c r="E22" s="30" t="str">
        <f aca="false">IFERROR(IF(AND(LEFT(A22,4)="Bend",B22&gt;0,B22&lt;=180,(IF(D22="",IFERROR(VLOOKUP(A22,Benddata,2,FALSE()),0),D22))&gt;=0.5,Beregning!$B$3="OK"),Beregning!$B$23*RADIANS(B22)*(IF(D22="",IFERROR(VLOOKUP(A22,Benddata,2,FALSE()),0),D22))+(0.1+2.4*Beregning!$B$23)*SIN(RADIANS(B22)/2)+6.6*Beregning!$B$23*(SQRT(SIN(RADIANS(B22)/2))+SIN(RADIANS(B22)/2))/((IF(D22="",IFERROR(VLOOKUP(A22,Benddata,2,FALSE()),0),D22))^(4*RADIANS(B22)/PI())),""),"")</f>
        <v/>
      </c>
      <c r="F22" s="16"/>
      <c r="G22" s="30" t="str">
        <f aca="false">IF(F22&lt;&gt;"",F22,E22)</f>
        <v/>
      </c>
      <c r="H22" s="14" t="str">
        <f aca="false">IF(J22="OK",G22*Beregning!$B$25/1000,"")</f>
        <v/>
      </c>
      <c r="I22" s="14" t="str">
        <f aca="false">IF(J22="OK",C22*H22,"")</f>
        <v/>
      </c>
      <c r="J22" s="29" t="str">
        <f aca="false">IFERROR(IF(OR(C22="",C22=0),"Ikke med",IF(OR(NOT(ISNUMBER(C22)),C22&lt;0,C22&lt;&gt;INT(C22)),"FEIL: antall",IF(COUNTIF(Bendtyper,A22)=0,"FEIL: velg type",IF(Beregning!$B$3&lt;&gt;"OK","Venter på inndata",IF(F22&lt;&gt;"",IF(OR(NOT(ISNUMBER(F22)),F22&lt;0),"FEIL: eget K","OK"),IF(LEFT(A22,4)&lt;&gt;"Bend","FEIL: oppgi eget K",IF(OR(NOT(ISNUMBER(B22)),B22&lt;=0,B22&gt;180,(IF(D22="",IFERROR(VLOOKUP(A22,Benddata,2,FALSE()),0),D22))&lt;0.5,NOT(ISNUMBER(IF(D22="",IFERROR(VLOOKUP(A22,Benddata,2,FALSE()),0),D22)))),"FEIL: vinkel eller R/Di",IF(AND(Beregning!$B$14&gt;0,Beregning!$B$14&lt;4000),"FEIL: eget K ved Re&lt;4000","OK")))))))),"FEIL: kontroller tall")</f>
        <v>Ikke med</v>
      </c>
      <c r="K22" s="16"/>
    </row>
    <row r="23" customFormat="false" ht="22.5" hidden="false" customHeight="true" outlineLevel="0" collapsed="false">
      <c r="A23" s="16"/>
      <c r="B23" s="18"/>
      <c r="C23" s="18" t="n">
        <v>0</v>
      </c>
      <c r="D23" s="16"/>
      <c r="E23" s="30" t="str">
        <f aca="false">IFERROR(IF(AND(LEFT(A23,4)="Bend",B23&gt;0,B23&lt;=180,(IF(D23="",IFERROR(VLOOKUP(A23,Benddata,2,FALSE()),0),D23))&gt;=0.5,Beregning!$B$3="OK"),Beregning!$B$23*RADIANS(B23)*(IF(D23="",IFERROR(VLOOKUP(A23,Benddata,2,FALSE()),0),D23))+(0.1+2.4*Beregning!$B$23)*SIN(RADIANS(B23)/2)+6.6*Beregning!$B$23*(SQRT(SIN(RADIANS(B23)/2))+SIN(RADIANS(B23)/2))/((IF(D23="",IFERROR(VLOOKUP(A23,Benddata,2,FALSE()),0),D23))^(4*RADIANS(B23)/PI())),""),"")</f>
        <v/>
      </c>
      <c r="F23" s="16"/>
      <c r="G23" s="30" t="str">
        <f aca="false">IF(F23&lt;&gt;"",F23,E23)</f>
        <v/>
      </c>
      <c r="H23" s="14" t="str">
        <f aca="false">IF(J23="OK",G23*Beregning!$B$25/1000,"")</f>
        <v/>
      </c>
      <c r="I23" s="14" t="str">
        <f aca="false">IF(J23="OK",C23*H23,"")</f>
        <v/>
      </c>
      <c r="J23" s="29" t="str">
        <f aca="false">IFERROR(IF(OR(C23="",C23=0),"Ikke med",IF(OR(NOT(ISNUMBER(C23)),C23&lt;0,C23&lt;&gt;INT(C23)),"FEIL: antall",IF(COUNTIF(Bendtyper,A23)=0,"FEIL: velg type",IF(Beregning!$B$3&lt;&gt;"OK","Venter på inndata",IF(F23&lt;&gt;"",IF(OR(NOT(ISNUMBER(F23)),F23&lt;0),"FEIL: eget K","OK"),IF(LEFT(A23,4)&lt;&gt;"Bend","FEIL: oppgi eget K",IF(OR(NOT(ISNUMBER(B23)),B23&lt;=0,B23&gt;180,(IF(D23="",IFERROR(VLOOKUP(A23,Benddata,2,FALSE()),0),D23))&lt;0.5,NOT(ISNUMBER(IF(D23="",IFERROR(VLOOKUP(A23,Benddata,2,FALSE()),0),D23)))),"FEIL: vinkel eller R/Di",IF(AND(Beregning!$B$14&gt;0,Beregning!$B$14&lt;4000),"FEIL: eget K ved Re&lt;4000","OK")))))))),"FEIL: kontroller tall")</f>
        <v>Ikke med</v>
      </c>
      <c r="K23" s="16"/>
    </row>
    <row r="24" customFormat="false" ht="22.5" hidden="false" customHeight="true" outlineLevel="0" collapsed="false">
      <c r="A24" s="16"/>
      <c r="B24" s="18"/>
      <c r="C24" s="18" t="n">
        <v>0</v>
      </c>
      <c r="D24" s="16"/>
      <c r="E24" s="30" t="str">
        <f aca="false">IFERROR(IF(AND(LEFT(A24,4)="Bend",B24&gt;0,B24&lt;=180,(IF(D24="",IFERROR(VLOOKUP(A24,Benddata,2,FALSE()),0),D24))&gt;=0.5,Beregning!$B$3="OK"),Beregning!$B$23*RADIANS(B24)*(IF(D24="",IFERROR(VLOOKUP(A24,Benddata,2,FALSE()),0),D24))+(0.1+2.4*Beregning!$B$23)*SIN(RADIANS(B24)/2)+6.6*Beregning!$B$23*(SQRT(SIN(RADIANS(B24)/2))+SIN(RADIANS(B24)/2))/((IF(D24="",IFERROR(VLOOKUP(A24,Benddata,2,FALSE()),0),D24))^(4*RADIANS(B24)/PI())),""),"")</f>
        <v/>
      </c>
      <c r="F24" s="16"/>
      <c r="G24" s="30" t="str">
        <f aca="false">IF(F24&lt;&gt;"",F24,E24)</f>
        <v/>
      </c>
      <c r="H24" s="14" t="str">
        <f aca="false">IF(J24="OK",G24*Beregning!$B$25/1000,"")</f>
        <v/>
      </c>
      <c r="I24" s="14" t="str">
        <f aca="false">IF(J24="OK",C24*H24,"")</f>
        <v/>
      </c>
      <c r="J24" s="29" t="str">
        <f aca="false">IFERROR(IF(OR(C24="",C24=0),"Ikke med",IF(OR(NOT(ISNUMBER(C24)),C24&lt;0,C24&lt;&gt;INT(C24)),"FEIL: antall",IF(COUNTIF(Bendtyper,A24)=0,"FEIL: velg type",IF(Beregning!$B$3&lt;&gt;"OK","Venter på inndata",IF(F24&lt;&gt;"",IF(OR(NOT(ISNUMBER(F24)),F24&lt;0),"FEIL: eget K","OK"),IF(LEFT(A24,4)&lt;&gt;"Bend","FEIL: oppgi eget K",IF(OR(NOT(ISNUMBER(B24)),B24&lt;=0,B24&gt;180,(IF(D24="",IFERROR(VLOOKUP(A24,Benddata,2,FALSE()),0),D24))&lt;0.5,NOT(ISNUMBER(IF(D24="",IFERROR(VLOOKUP(A24,Benddata,2,FALSE()),0),D24)))),"FEIL: vinkel eller R/Di",IF(AND(Beregning!$B$14&gt;0,Beregning!$B$14&lt;4000),"FEIL: eget K ved Re&lt;4000","OK")))))))),"FEIL: kontroller tall")</f>
        <v>Ikke med</v>
      </c>
      <c r="K24" s="16"/>
    </row>
    <row r="25" customFormat="false" ht="22.5" hidden="false" customHeight="true" outlineLevel="0" collapsed="false">
      <c r="A25" s="16"/>
      <c r="B25" s="18"/>
      <c r="C25" s="18" t="n">
        <v>0</v>
      </c>
      <c r="D25" s="16"/>
      <c r="E25" s="30" t="str">
        <f aca="false">IFERROR(IF(AND(LEFT(A25,4)="Bend",B25&gt;0,B25&lt;=180,(IF(D25="",IFERROR(VLOOKUP(A25,Benddata,2,FALSE()),0),D25))&gt;=0.5,Beregning!$B$3="OK"),Beregning!$B$23*RADIANS(B25)*(IF(D25="",IFERROR(VLOOKUP(A25,Benddata,2,FALSE()),0),D25))+(0.1+2.4*Beregning!$B$23)*SIN(RADIANS(B25)/2)+6.6*Beregning!$B$23*(SQRT(SIN(RADIANS(B25)/2))+SIN(RADIANS(B25)/2))/((IF(D25="",IFERROR(VLOOKUP(A25,Benddata,2,FALSE()),0),D25))^(4*RADIANS(B25)/PI())),""),"")</f>
        <v/>
      </c>
      <c r="F25" s="16"/>
      <c r="G25" s="30" t="str">
        <f aca="false">IF(F25&lt;&gt;"",F25,E25)</f>
        <v/>
      </c>
      <c r="H25" s="14" t="str">
        <f aca="false">IF(J25="OK",G25*Beregning!$B$25/1000,"")</f>
        <v/>
      </c>
      <c r="I25" s="14" t="str">
        <f aca="false">IF(J25="OK",C25*H25,"")</f>
        <v/>
      </c>
      <c r="J25" s="29" t="str">
        <f aca="false">IFERROR(IF(OR(C25="",C25=0),"Ikke med",IF(OR(NOT(ISNUMBER(C25)),C25&lt;0,C25&lt;&gt;INT(C25)),"FEIL: antall",IF(COUNTIF(Bendtyper,A25)=0,"FEIL: velg type",IF(Beregning!$B$3&lt;&gt;"OK","Venter på inndata",IF(F25&lt;&gt;"",IF(OR(NOT(ISNUMBER(F25)),F25&lt;0),"FEIL: eget K","OK"),IF(LEFT(A25,4)&lt;&gt;"Bend","FEIL: oppgi eget K",IF(OR(NOT(ISNUMBER(B25)),B25&lt;=0,B25&gt;180,(IF(D25="",IFERROR(VLOOKUP(A25,Benddata,2,FALSE()),0),D25))&lt;0.5,NOT(ISNUMBER(IF(D25="",IFERROR(VLOOKUP(A25,Benddata,2,FALSE()),0),D25)))),"FEIL: vinkel eller R/Di",IF(AND(Beregning!$B$14&gt;0,Beregning!$B$14&lt;4000),"FEIL: eget K ved Re&lt;4000","OK")))))))),"FEIL: kontroller tall")</f>
        <v>Ikke med</v>
      </c>
      <c r="K25" s="16"/>
    </row>
    <row r="26" customFormat="false" ht="22.5" hidden="false" customHeight="true" outlineLevel="0" collapsed="false">
      <c r="A26" s="16"/>
      <c r="B26" s="18"/>
      <c r="C26" s="18" t="n">
        <v>0</v>
      </c>
      <c r="D26" s="16"/>
      <c r="E26" s="30" t="str">
        <f aca="false">IFERROR(IF(AND(LEFT(A26,4)="Bend",B26&gt;0,B26&lt;=180,(IF(D26="",IFERROR(VLOOKUP(A26,Benddata,2,FALSE()),0),D26))&gt;=0.5,Beregning!$B$3="OK"),Beregning!$B$23*RADIANS(B26)*(IF(D26="",IFERROR(VLOOKUP(A26,Benddata,2,FALSE()),0),D26))+(0.1+2.4*Beregning!$B$23)*SIN(RADIANS(B26)/2)+6.6*Beregning!$B$23*(SQRT(SIN(RADIANS(B26)/2))+SIN(RADIANS(B26)/2))/((IF(D26="",IFERROR(VLOOKUP(A26,Benddata,2,FALSE()),0),D26))^(4*RADIANS(B26)/PI())),""),"")</f>
        <v/>
      </c>
      <c r="F26" s="16"/>
      <c r="G26" s="30" t="str">
        <f aca="false">IF(F26&lt;&gt;"",F26,E26)</f>
        <v/>
      </c>
      <c r="H26" s="14" t="str">
        <f aca="false">IF(J26="OK",G26*Beregning!$B$25/1000,"")</f>
        <v/>
      </c>
      <c r="I26" s="14" t="str">
        <f aca="false">IF(J26="OK",C26*H26,"")</f>
        <v/>
      </c>
      <c r="J26" s="29" t="str">
        <f aca="false">IFERROR(IF(OR(C26="",C26=0),"Ikke med",IF(OR(NOT(ISNUMBER(C26)),C26&lt;0,C26&lt;&gt;INT(C26)),"FEIL: antall",IF(COUNTIF(Bendtyper,A26)=0,"FEIL: velg type",IF(Beregning!$B$3&lt;&gt;"OK","Venter på inndata",IF(F26&lt;&gt;"",IF(OR(NOT(ISNUMBER(F26)),F26&lt;0),"FEIL: eget K","OK"),IF(LEFT(A26,4)&lt;&gt;"Bend","FEIL: oppgi eget K",IF(OR(NOT(ISNUMBER(B26)),B26&lt;=0,B26&gt;180,(IF(D26="",IFERROR(VLOOKUP(A26,Benddata,2,FALSE()),0),D26))&lt;0.5,NOT(ISNUMBER(IF(D26="",IFERROR(VLOOKUP(A26,Benddata,2,FALSE()),0),D26)))),"FEIL: vinkel eller R/Di",IF(AND(Beregning!$B$14&gt;0,Beregning!$B$14&lt;4000),"FEIL: eget K ved Re&lt;4000","OK")))))))),"FEIL: kontroller tall")</f>
        <v>Ikke med</v>
      </c>
      <c r="K26" s="16"/>
    </row>
    <row r="27" customFormat="false" ht="22.5" hidden="false" customHeight="true" outlineLevel="0" collapsed="false">
      <c r="A27" s="16"/>
      <c r="B27" s="18"/>
      <c r="C27" s="18" t="n">
        <v>0</v>
      </c>
      <c r="D27" s="16"/>
      <c r="E27" s="30" t="str">
        <f aca="false">IFERROR(IF(AND(LEFT(A27,4)="Bend",B27&gt;0,B27&lt;=180,(IF(D27="",IFERROR(VLOOKUP(A27,Benddata,2,FALSE()),0),D27))&gt;=0.5,Beregning!$B$3="OK"),Beregning!$B$23*RADIANS(B27)*(IF(D27="",IFERROR(VLOOKUP(A27,Benddata,2,FALSE()),0),D27))+(0.1+2.4*Beregning!$B$23)*SIN(RADIANS(B27)/2)+6.6*Beregning!$B$23*(SQRT(SIN(RADIANS(B27)/2))+SIN(RADIANS(B27)/2))/((IF(D27="",IFERROR(VLOOKUP(A27,Benddata,2,FALSE()),0),D27))^(4*RADIANS(B27)/PI())),""),"")</f>
        <v/>
      </c>
      <c r="F27" s="16"/>
      <c r="G27" s="30" t="str">
        <f aca="false">IF(F27&lt;&gt;"",F27,E27)</f>
        <v/>
      </c>
      <c r="H27" s="14" t="str">
        <f aca="false">IF(J27="OK",G27*Beregning!$B$25/1000,"")</f>
        <v/>
      </c>
      <c r="I27" s="14" t="str">
        <f aca="false">IF(J27="OK",C27*H27,"")</f>
        <v/>
      </c>
      <c r="J27" s="29" t="str">
        <f aca="false">IFERROR(IF(OR(C27="",C27=0),"Ikke med",IF(OR(NOT(ISNUMBER(C27)),C27&lt;0,C27&lt;&gt;INT(C27)),"FEIL: antall",IF(COUNTIF(Bendtyper,A27)=0,"FEIL: velg type",IF(Beregning!$B$3&lt;&gt;"OK","Venter på inndata",IF(F27&lt;&gt;"",IF(OR(NOT(ISNUMBER(F27)),F27&lt;0),"FEIL: eget K","OK"),IF(LEFT(A27,4)&lt;&gt;"Bend","FEIL: oppgi eget K",IF(OR(NOT(ISNUMBER(B27)),B27&lt;=0,B27&gt;180,(IF(D27="",IFERROR(VLOOKUP(A27,Benddata,2,FALSE()),0),D27))&lt;0.5,NOT(ISNUMBER(IF(D27="",IFERROR(VLOOKUP(A27,Benddata,2,FALSE()),0),D27)))),"FEIL: vinkel eller R/Di",IF(AND(Beregning!$B$14&gt;0,Beregning!$B$14&lt;4000),"FEIL: eget K ved Re&lt;4000","OK")))))))),"FEIL: kontroller tall")</f>
        <v>Ikke med</v>
      </c>
      <c r="K27" s="16"/>
    </row>
    <row r="28" customFormat="false" ht="22.5" hidden="false" customHeight="true" outlineLevel="0" collapsed="false">
      <c r="A28" s="16"/>
      <c r="B28" s="18"/>
      <c r="C28" s="18" t="n">
        <v>0</v>
      </c>
      <c r="D28" s="16"/>
      <c r="E28" s="30" t="str">
        <f aca="false">IFERROR(IF(AND(LEFT(A28,4)="Bend",B28&gt;0,B28&lt;=180,(IF(D28="",IFERROR(VLOOKUP(A28,Benddata,2,FALSE()),0),D28))&gt;=0.5,Beregning!$B$3="OK"),Beregning!$B$23*RADIANS(B28)*(IF(D28="",IFERROR(VLOOKUP(A28,Benddata,2,FALSE()),0),D28))+(0.1+2.4*Beregning!$B$23)*SIN(RADIANS(B28)/2)+6.6*Beregning!$B$23*(SQRT(SIN(RADIANS(B28)/2))+SIN(RADIANS(B28)/2))/((IF(D28="",IFERROR(VLOOKUP(A28,Benddata,2,FALSE()),0),D28))^(4*RADIANS(B28)/PI())),""),"")</f>
        <v/>
      </c>
      <c r="F28" s="16"/>
      <c r="G28" s="30" t="str">
        <f aca="false">IF(F28&lt;&gt;"",F28,E28)</f>
        <v/>
      </c>
      <c r="H28" s="14" t="str">
        <f aca="false">IF(J28="OK",G28*Beregning!$B$25/1000,"")</f>
        <v/>
      </c>
      <c r="I28" s="14" t="str">
        <f aca="false">IF(J28="OK",C28*H28,"")</f>
        <v/>
      </c>
      <c r="J28" s="29" t="str">
        <f aca="false">IFERROR(IF(OR(C28="",C28=0),"Ikke med",IF(OR(NOT(ISNUMBER(C28)),C28&lt;0,C28&lt;&gt;INT(C28)),"FEIL: antall",IF(COUNTIF(Bendtyper,A28)=0,"FEIL: velg type",IF(Beregning!$B$3&lt;&gt;"OK","Venter på inndata",IF(F28&lt;&gt;"",IF(OR(NOT(ISNUMBER(F28)),F28&lt;0),"FEIL: eget K","OK"),IF(LEFT(A28,4)&lt;&gt;"Bend","FEIL: oppgi eget K",IF(OR(NOT(ISNUMBER(B28)),B28&lt;=0,B28&gt;180,(IF(D28="",IFERROR(VLOOKUP(A28,Benddata,2,FALSE()),0),D28))&lt;0.5,NOT(ISNUMBER(IF(D28="",IFERROR(VLOOKUP(A28,Benddata,2,FALSE()),0),D28)))),"FEIL: vinkel eller R/Di",IF(AND(Beregning!$B$14&gt;0,Beregning!$B$14&lt;4000),"FEIL: eget K ved Re&lt;4000","OK")))))))),"FEIL: kontroller tall")</f>
        <v>Ikke med</v>
      </c>
      <c r="K28" s="16"/>
    </row>
    <row r="29" customFormat="false" ht="22.5" hidden="false" customHeight="true" outlineLevel="0" collapsed="false">
      <c r="A29" s="16"/>
      <c r="B29" s="18"/>
      <c r="C29" s="18" t="n">
        <v>0</v>
      </c>
      <c r="D29" s="16"/>
      <c r="E29" s="30" t="str">
        <f aca="false">IFERROR(IF(AND(LEFT(A29,4)="Bend",B29&gt;0,B29&lt;=180,(IF(D29="",IFERROR(VLOOKUP(A29,Benddata,2,FALSE()),0),D29))&gt;=0.5,Beregning!$B$3="OK"),Beregning!$B$23*RADIANS(B29)*(IF(D29="",IFERROR(VLOOKUP(A29,Benddata,2,FALSE()),0),D29))+(0.1+2.4*Beregning!$B$23)*SIN(RADIANS(B29)/2)+6.6*Beregning!$B$23*(SQRT(SIN(RADIANS(B29)/2))+SIN(RADIANS(B29)/2))/((IF(D29="",IFERROR(VLOOKUP(A29,Benddata,2,FALSE()),0),D29))^(4*RADIANS(B29)/PI())),""),"")</f>
        <v/>
      </c>
      <c r="F29" s="16"/>
      <c r="G29" s="30" t="str">
        <f aca="false">IF(F29&lt;&gt;"",F29,E29)</f>
        <v/>
      </c>
      <c r="H29" s="14" t="str">
        <f aca="false">IF(J29="OK",G29*Beregning!$B$25/1000,"")</f>
        <v/>
      </c>
      <c r="I29" s="14" t="str">
        <f aca="false">IF(J29="OK",C29*H29,"")</f>
        <v/>
      </c>
      <c r="J29" s="29" t="str">
        <f aca="false">IFERROR(IF(OR(C29="",C29=0),"Ikke med",IF(OR(NOT(ISNUMBER(C29)),C29&lt;0,C29&lt;&gt;INT(C29)),"FEIL: antall",IF(COUNTIF(Bendtyper,A29)=0,"FEIL: velg type",IF(Beregning!$B$3&lt;&gt;"OK","Venter på inndata",IF(F29&lt;&gt;"",IF(OR(NOT(ISNUMBER(F29)),F29&lt;0),"FEIL: eget K","OK"),IF(LEFT(A29,4)&lt;&gt;"Bend","FEIL: oppgi eget K",IF(OR(NOT(ISNUMBER(B29)),B29&lt;=0,B29&gt;180,(IF(D29="",IFERROR(VLOOKUP(A29,Benddata,2,FALSE()),0),D29))&lt;0.5,NOT(ISNUMBER(IF(D29="",IFERROR(VLOOKUP(A29,Benddata,2,FALSE()),0),D29)))),"FEIL: vinkel eller R/Di",IF(AND(Beregning!$B$14&gt;0,Beregning!$B$14&lt;4000),"FEIL: eget K ved Re&lt;4000","OK")))))))),"FEIL: kontroller tall")</f>
        <v>Ikke med</v>
      </c>
      <c r="K29" s="16"/>
    </row>
    <row r="30" customFormat="false" ht="22.5" hidden="false" customHeight="true" outlineLevel="0" collapsed="false">
      <c r="A30" s="16"/>
      <c r="B30" s="18"/>
      <c r="C30" s="18" t="n">
        <v>0</v>
      </c>
      <c r="D30" s="16"/>
      <c r="E30" s="30" t="str">
        <f aca="false">IFERROR(IF(AND(LEFT(A30,4)="Bend",B30&gt;0,B30&lt;=180,(IF(D30="",IFERROR(VLOOKUP(A30,Benddata,2,FALSE()),0),D30))&gt;=0.5,Beregning!$B$3="OK"),Beregning!$B$23*RADIANS(B30)*(IF(D30="",IFERROR(VLOOKUP(A30,Benddata,2,FALSE()),0),D30))+(0.1+2.4*Beregning!$B$23)*SIN(RADIANS(B30)/2)+6.6*Beregning!$B$23*(SQRT(SIN(RADIANS(B30)/2))+SIN(RADIANS(B30)/2))/((IF(D30="",IFERROR(VLOOKUP(A30,Benddata,2,FALSE()),0),D30))^(4*RADIANS(B30)/PI())),""),"")</f>
        <v/>
      </c>
      <c r="F30" s="16"/>
      <c r="G30" s="30" t="str">
        <f aca="false">IF(F30&lt;&gt;"",F30,E30)</f>
        <v/>
      </c>
      <c r="H30" s="14" t="str">
        <f aca="false">IF(J30="OK",G30*Beregning!$B$25/1000,"")</f>
        <v/>
      </c>
      <c r="I30" s="14" t="str">
        <f aca="false">IF(J30="OK",C30*H30,"")</f>
        <v/>
      </c>
      <c r="J30" s="29" t="str">
        <f aca="false">IFERROR(IF(OR(C30="",C30=0),"Ikke med",IF(OR(NOT(ISNUMBER(C30)),C30&lt;0,C30&lt;&gt;INT(C30)),"FEIL: antall",IF(COUNTIF(Bendtyper,A30)=0,"FEIL: velg type",IF(Beregning!$B$3&lt;&gt;"OK","Venter på inndata",IF(F30&lt;&gt;"",IF(OR(NOT(ISNUMBER(F30)),F30&lt;0),"FEIL: eget K","OK"),IF(LEFT(A30,4)&lt;&gt;"Bend","FEIL: oppgi eget K",IF(OR(NOT(ISNUMBER(B30)),B30&lt;=0,B30&gt;180,(IF(D30="",IFERROR(VLOOKUP(A30,Benddata,2,FALSE()),0),D30))&lt;0.5,NOT(ISNUMBER(IF(D30="",IFERROR(VLOOKUP(A30,Benddata,2,FALSE()),0),D30)))),"FEIL: vinkel eller R/Di",IF(AND(Beregning!$B$14&gt;0,Beregning!$B$14&lt;4000),"FEIL: eget K ved Re&lt;4000","OK")))))))),"FEIL: kontroller tall")</f>
        <v>Ikke med</v>
      </c>
      <c r="K30" s="16"/>
    </row>
    <row r="31" customFormat="false" ht="22.5" hidden="false" customHeight="true" outlineLevel="0" collapsed="false">
      <c r="A31" s="16"/>
      <c r="B31" s="18"/>
      <c r="C31" s="18" t="n">
        <v>0</v>
      </c>
      <c r="D31" s="16"/>
      <c r="E31" s="30" t="str">
        <f aca="false">IFERROR(IF(AND(LEFT(A31,4)="Bend",B31&gt;0,B31&lt;=180,(IF(D31="",IFERROR(VLOOKUP(A31,Benddata,2,FALSE()),0),D31))&gt;=0.5,Beregning!$B$3="OK"),Beregning!$B$23*RADIANS(B31)*(IF(D31="",IFERROR(VLOOKUP(A31,Benddata,2,FALSE()),0),D31))+(0.1+2.4*Beregning!$B$23)*SIN(RADIANS(B31)/2)+6.6*Beregning!$B$23*(SQRT(SIN(RADIANS(B31)/2))+SIN(RADIANS(B31)/2))/((IF(D31="",IFERROR(VLOOKUP(A31,Benddata,2,FALSE()),0),D31))^(4*RADIANS(B31)/PI())),""),"")</f>
        <v/>
      </c>
      <c r="F31" s="16"/>
      <c r="G31" s="30" t="str">
        <f aca="false">IF(F31&lt;&gt;"",F31,E31)</f>
        <v/>
      </c>
      <c r="H31" s="14" t="str">
        <f aca="false">IF(J31="OK",G31*Beregning!$B$25/1000,"")</f>
        <v/>
      </c>
      <c r="I31" s="14" t="str">
        <f aca="false">IF(J31="OK",C31*H31,"")</f>
        <v/>
      </c>
      <c r="J31" s="29" t="str">
        <f aca="false">IFERROR(IF(OR(C31="",C31=0),"Ikke med",IF(OR(NOT(ISNUMBER(C31)),C31&lt;0,C31&lt;&gt;INT(C31)),"FEIL: antall",IF(COUNTIF(Bendtyper,A31)=0,"FEIL: velg type",IF(Beregning!$B$3&lt;&gt;"OK","Venter på inndata",IF(F31&lt;&gt;"",IF(OR(NOT(ISNUMBER(F31)),F31&lt;0),"FEIL: eget K","OK"),IF(LEFT(A31,4)&lt;&gt;"Bend","FEIL: oppgi eget K",IF(OR(NOT(ISNUMBER(B31)),B31&lt;=0,B31&gt;180,(IF(D31="",IFERROR(VLOOKUP(A31,Benddata,2,FALSE()),0),D31))&lt;0.5,NOT(ISNUMBER(IF(D31="",IFERROR(VLOOKUP(A31,Benddata,2,FALSE()),0),D31)))),"FEIL: vinkel eller R/Di",IF(AND(Beregning!$B$14&gt;0,Beregning!$B$14&lt;4000),"FEIL: eget K ved Re&lt;4000","OK")))))))),"FEIL: kontroller tall")</f>
        <v>Ikke med</v>
      </c>
      <c r="K31" s="16"/>
    </row>
    <row r="32" customFormat="false" ht="22.5" hidden="false" customHeight="true" outlineLevel="0" collapsed="false"/>
    <row r="33" customFormat="false" ht="22.5" hidden="false" customHeight="true" outlineLevel="0" collapsed="false">
      <c r="A33" s="24" t="s">
        <v>80</v>
      </c>
      <c r="B33" s="24"/>
      <c r="C33" s="24"/>
      <c r="D33" s="24"/>
      <c r="E33" s="24"/>
      <c r="F33" s="24"/>
      <c r="G33" s="24"/>
      <c r="H33" s="24"/>
      <c r="I33" s="31" t="n">
        <f aca="false">SUM(I7:I31)</f>
        <v>2.24374066707196</v>
      </c>
    </row>
    <row r="34" customFormat="false" ht="22.5" hidden="false" customHeight="true" outlineLevel="0" collapsed="false"/>
    <row r="35" customFormat="false" ht="22.5" hidden="false" customHeight="true" outlineLevel="0" collapsed="false">
      <c r="A35" s="26" t="s">
        <v>81</v>
      </c>
      <c r="B35" s="26"/>
      <c r="C35" s="26"/>
      <c r="D35" s="26"/>
      <c r="E35" s="26"/>
      <c r="F35" s="26"/>
      <c r="G35" s="26"/>
      <c r="H35" s="26"/>
      <c r="I35" s="26"/>
      <c r="J35" s="26"/>
      <c r="K35" s="26"/>
    </row>
    <row r="36" customFormat="false" ht="22.5" hidden="false" customHeight="true" outlineLevel="0" collapsed="false">
      <c r="A36" s="26"/>
      <c r="B36" s="26"/>
      <c r="C36" s="26"/>
      <c r="D36" s="26"/>
      <c r="E36" s="26"/>
      <c r="F36" s="26"/>
      <c r="G36" s="26"/>
      <c r="H36" s="26"/>
      <c r="I36" s="26"/>
      <c r="J36" s="26"/>
      <c r="K36" s="26"/>
    </row>
    <row r="37" customFormat="false" ht="22.5" hidden="false" customHeight="true" outlineLevel="0" collapsed="false"/>
    <row r="38" customFormat="false" ht="22.5" hidden="false" customHeight="true" outlineLevel="0" collapsed="false"/>
    <row r="39" customFormat="false" ht="22.5" hidden="false" customHeight="true" outlineLevel="0" collapsed="false"/>
    <row r="40" customFormat="false" ht="22.5" hidden="false" customHeight="true" outlineLevel="0" collapsed="false"/>
    <row r="41" customFormat="false" ht="22.5" hidden="false" customHeight="true" outlineLevel="0" collapsed="false"/>
    <row r="42" customFormat="false" ht="22.5" hidden="false" customHeight="true" outlineLevel="0" collapsed="false"/>
    <row r="43" customFormat="false" ht="22.5" hidden="false" customHeight="true" outlineLevel="0" collapsed="false"/>
    <row r="44" customFormat="false" ht="22.5" hidden="false" customHeight="true" outlineLevel="0" collapsed="false"/>
    <row r="45" customFormat="false" ht="22.5" hidden="false" customHeight="true" outlineLevel="0" collapsed="false"/>
    <row r="46" customFormat="false" ht="22.5" hidden="false" customHeight="true" outlineLevel="0" collapsed="false"/>
    <row r="47" customFormat="false" ht="22.5" hidden="false" customHeight="true" outlineLevel="0" collapsed="false"/>
    <row r="48" customFormat="false" ht="22.5" hidden="false" customHeight="true" outlineLevel="0" collapsed="false"/>
    <row r="49" customFormat="false" ht="22.5" hidden="false" customHeight="true" outlineLevel="0" collapsed="false"/>
    <row r="50" customFormat="false" ht="22.5" hidden="false" customHeight="true" outlineLevel="0" collapsed="false"/>
    <row r="51" customFormat="false" ht="22.5" hidden="false" customHeight="true" outlineLevel="0" collapsed="false"/>
    <row r="52" customFormat="false" ht="22.5" hidden="false" customHeight="true" outlineLevel="0" collapsed="false"/>
    <row r="53" customFormat="false" ht="22.5" hidden="false" customHeight="true" outlineLevel="0" collapsed="false"/>
    <row r="54" customFormat="false" ht="22.5" hidden="false" customHeight="true" outlineLevel="0" collapsed="false"/>
  </sheetData>
  <autoFilter ref="A6:K31"/>
  <mergeCells count="6">
    <mergeCell ref="A1:K2"/>
    <mergeCell ref="A3:K3"/>
    <mergeCell ref="A4:K4"/>
    <mergeCell ref="A5:K5"/>
    <mergeCell ref="A33:H33"/>
    <mergeCell ref="A35:K36"/>
  </mergeCells>
  <conditionalFormatting sqref="J7:J31">
    <cfRule type="expression" priority="2" aboveAverage="0" equalAverage="0" bottom="0" percent="0" rank="0" text="" dxfId="0">
      <formula>LEFT(J7,4)="FEIL"</formula>
    </cfRule>
  </conditionalFormatting>
  <dataValidations xmlns="http://schemas.openxmlformats.org/spreadsheetml/2006/main" count="5">
    <dataValidation sqref="A7:A31" showDropDown="0" showInputMessage="1" showErrorMessage="1" allowBlank="1" errorTitle="Ugyldig valg" error="Velg fra listen, eller bruk et felt for egne verdier." promptTitle="Velg verdi" prompt="Bruk nedtrekkslisten. Blå felt kan redigeres." type="list">
      <formula1>Bendtyper</formula1>
    </dataValidation>
    <dataValidation sqref="B7:B31" showDropDown="0" showInputMessage="0" showErrorMessage="1" allowBlank="1" errorTitle="Ugyldig tall" error="Oppgi et tall mellom 0 og 180." type="decimal" operator="between">
      <formula1>0</formula1>
      <formula2>180</formula2>
    </dataValidation>
    <dataValidation sqref="C7:C31" showDropDown="0" showInputMessage="0" showErrorMessage="1" allowBlank="1" errorTitle="Ugyldig tall" error="Oppgi et heltall mellom 0 og 100000." type="whole" operator="between">
      <formula1>0</formula1>
      <formula2>100000</formula2>
    </dataValidation>
    <dataValidation sqref="D7:D31" showDropDown="0" showInputMessage="0" showErrorMessage="1" allowBlank="1" errorTitle="Ugyldig tall" error="Oppgi et tall mellom 0.5 og 1000." type="decimal" operator="between">
      <formula1>0.5</formula1>
      <formula2>1000</formula2>
    </dataValidation>
    <dataValidation sqref="F7:F31" showDropDown="0" showInputMessage="0" showErrorMessage="1" allowBlank="1" errorTitle="Ugyldig tall" error="Oppgi et tall mellom 0 og 1000000000.0." type="decimal" operator="between">
      <formula1>0</formula1>
      <formula2>1000000000.0</formula2>
    </dataValidation>
  </dataValidations>
  <printOptions headings="false" gridLines="false" gridLinesSet="true" horizontalCentered="false" verticalCentered="false"/>
  <pageMargins left="0.25" right="0.25" top="0.35" bottom="0.35" header="0.511811023622047" footer="0.15"/>
  <pageSetup paperSize="8" scale="100" fitToWidth="1" fitToHeight="1" pageOrder="downThenOver" orientation="landscape" blackAndWhite="false" draft="false" cellComments="none" horizontalDpi="300" verticalDpi="300" copies="1"/>
  <headerFooter differentFirst="false" differentOddEven="false">
    <oddHeader/>
    <oddFooter>&amp;C&amp;8 R-rdimensjonering | &amp;A | side &amp;P av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C"/>
    <pageSetUpPr fitToPage="true"/>
  </sheetPr>
  <dimension ref="A1:F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5"/>
    <col collapsed="false" customWidth="true" hidden="false" outlineLevel="0" max="2" min="2" style="0" width="12"/>
    <col collapsed="false" customWidth="true" hidden="false" outlineLevel="0" max="4" min="3" style="0" width="24"/>
    <col collapsed="false" customWidth="true" hidden="false" outlineLevel="0" max="5" min="5" style="0" width="65"/>
    <col collapsed="false" customWidth="true" hidden="false" outlineLevel="0" max="6" min="6" style="0" width="34"/>
  </cols>
  <sheetData>
    <row r="1" customFormat="false" ht="22.5" hidden="false" customHeight="true" outlineLevel="0" collapsed="false">
      <c r="A1" s="1" t="s">
        <v>82</v>
      </c>
      <c r="B1" s="1"/>
      <c r="C1" s="1"/>
      <c r="D1" s="1"/>
      <c r="E1" s="1"/>
      <c r="F1" s="1"/>
    </row>
    <row r="2" customFormat="false" ht="22.5" hidden="false" customHeight="true" outlineLevel="0" collapsed="false">
      <c r="A2" s="1"/>
      <c r="B2" s="1"/>
      <c r="C2" s="1"/>
      <c r="D2" s="1"/>
      <c r="E2" s="1"/>
      <c r="F2" s="1"/>
    </row>
    <row r="3" customFormat="false" ht="22.5" hidden="false" customHeight="true" outlineLevel="0" collapsed="false">
      <c r="A3" s="2" t="s">
        <v>83</v>
      </c>
      <c r="B3" s="2"/>
      <c r="C3" s="2"/>
      <c r="D3" s="2"/>
      <c r="E3" s="2"/>
      <c r="F3" s="2"/>
    </row>
    <row r="4" customFormat="false" ht="22.5" hidden="false" customHeight="true" outlineLevel="0" collapsed="false">
      <c r="A4" s="27" t="s">
        <v>84</v>
      </c>
      <c r="B4" s="27"/>
      <c r="C4" s="27"/>
      <c r="D4" s="27"/>
      <c r="E4" s="27"/>
      <c r="F4" s="27"/>
    </row>
    <row r="5" customFormat="false" ht="22.5" hidden="false" customHeight="true" outlineLevel="0" collapsed="false">
      <c r="A5" s="28" t="s">
        <v>85</v>
      </c>
      <c r="B5" s="28"/>
      <c r="C5" s="28"/>
      <c r="D5" s="28"/>
      <c r="E5" s="28"/>
      <c r="F5" s="28"/>
    </row>
    <row r="6" customFormat="false" ht="36" hidden="false" customHeight="true" outlineLevel="0" collapsed="false">
      <c r="A6" s="29" t="s">
        <v>86</v>
      </c>
      <c r="B6" s="29" t="s">
        <v>67</v>
      </c>
      <c r="C6" s="29" t="s">
        <v>72</v>
      </c>
      <c r="D6" s="29" t="s">
        <v>73</v>
      </c>
      <c r="E6" s="29" t="s">
        <v>75</v>
      </c>
      <c r="F6" s="29" t="s">
        <v>74</v>
      </c>
    </row>
    <row r="7" customFormat="false" ht="22.5" hidden="false" customHeight="true" outlineLevel="0" collapsed="false">
      <c r="A7" s="6" t="s">
        <v>87</v>
      </c>
      <c r="B7" s="18" t="n">
        <v>0</v>
      </c>
      <c r="C7" s="16"/>
      <c r="D7" s="14" t="str">
        <f aca="false">IF(F7="OK",B7*C7,"")</f>
        <v/>
      </c>
      <c r="E7" s="6"/>
      <c r="F7" s="29" t="str">
        <f aca="false">IFERROR(IF(OR(B7="",B7=0),"Ikke med",IF(OR(NOT(ISNUMBER(B7)),B7&lt;0,B7&lt;&gt;INT(B7)),"FEIL: antall",IF(A7="","FEIL: angi navn",IF(OR(C7="",NOT(ISNUMBER(C7)),C7&lt;0),"FEIL: angi Δp per enhet","OK")))),"FEIL: kontroller tall")</f>
        <v>Ikke med</v>
      </c>
    </row>
    <row r="8" customFormat="false" ht="22.5" hidden="false" customHeight="true" outlineLevel="0" collapsed="false">
      <c r="A8" s="6" t="s">
        <v>88</v>
      </c>
      <c r="B8" s="18" t="n">
        <v>0</v>
      </c>
      <c r="C8" s="16"/>
      <c r="D8" s="14" t="str">
        <f aca="false">IF(F8="OK",B8*C8,"")</f>
        <v/>
      </c>
      <c r="E8" s="6"/>
      <c r="F8" s="29" t="str">
        <f aca="false">IFERROR(IF(OR(B8="",B8=0),"Ikke med",IF(OR(NOT(ISNUMBER(B8)),B8&lt;0,B8&lt;&gt;INT(B8)),"FEIL: antall",IF(A8="","FEIL: angi navn",IF(OR(C8="",NOT(ISNUMBER(C8)),C8&lt;0),"FEIL: angi Δp per enhet","OK")))),"FEIL: kontroller tall")</f>
        <v>Ikke med</v>
      </c>
    </row>
    <row r="9" customFormat="false" ht="22.5" hidden="false" customHeight="true" outlineLevel="0" collapsed="false">
      <c r="A9" s="6" t="s">
        <v>89</v>
      </c>
      <c r="B9" s="18" t="n">
        <v>0</v>
      </c>
      <c r="C9" s="16"/>
      <c r="D9" s="14" t="str">
        <f aca="false">IF(F9="OK",B9*C9,"")</f>
        <v/>
      </c>
      <c r="E9" s="6"/>
      <c r="F9" s="29" t="str">
        <f aca="false">IFERROR(IF(OR(B9="",B9=0),"Ikke med",IF(OR(NOT(ISNUMBER(B9)),B9&lt;0,B9&lt;&gt;INT(B9)),"FEIL: antall",IF(A9="","FEIL: angi navn",IF(OR(C9="",NOT(ISNUMBER(C9)),C9&lt;0),"FEIL: angi Δp per enhet","OK")))),"FEIL: kontroller tall")</f>
        <v>Ikke med</v>
      </c>
    </row>
    <row r="10" customFormat="false" ht="22.5" hidden="false" customHeight="true" outlineLevel="0" collapsed="false">
      <c r="A10" s="6" t="s">
        <v>90</v>
      </c>
      <c r="B10" s="18" t="n">
        <v>0</v>
      </c>
      <c r="C10" s="16"/>
      <c r="D10" s="14" t="str">
        <f aca="false">IF(F10="OK",B10*C10,"")</f>
        <v/>
      </c>
      <c r="E10" s="6"/>
      <c r="F10" s="29" t="str">
        <f aca="false">IFERROR(IF(OR(B10="",B10=0),"Ikke med",IF(OR(NOT(ISNUMBER(B10)),B10&lt;0,B10&lt;&gt;INT(B10)),"FEIL: antall",IF(A10="","FEIL: angi navn",IF(OR(C10="",NOT(ISNUMBER(C10)),C10&lt;0),"FEIL: angi Δp per enhet","OK")))),"FEIL: kontroller tall")</f>
        <v>Ikke med</v>
      </c>
    </row>
    <row r="11" customFormat="false" ht="22.5" hidden="false" customHeight="true" outlineLevel="0" collapsed="false">
      <c r="A11" s="6" t="s">
        <v>91</v>
      </c>
      <c r="B11" s="18" t="n">
        <v>0</v>
      </c>
      <c r="C11" s="16"/>
      <c r="D11" s="14" t="str">
        <f aca="false">IF(F11="OK",B11*C11,"")</f>
        <v/>
      </c>
      <c r="E11" s="6"/>
      <c r="F11" s="29" t="str">
        <f aca="false">IFERROR(IF(OR(B11="",B11=0),"Ikke med",IF(OR(NOT(ISNUMBER(B11)),B11&lt;0,B11&lt;&gt;INT(B11)),"FEIL: antall",IF(A11="","FEIL: angi navn",IF(OR(C11="",NOT(ISNUMBER(C11)),C11&lt;0),"FEIL: angi Δp per enhet","OK")))),"FEIL: kontroller tall")</f>
        <v>Ikke med</v>
      </c>
    </row>
    <row r="12" customFormat="false" ht="22.5" hidden="false" customHeight="true" outlineLevel="0" collapsed="false">
      <c r="A12" s="6"/>
      <c r="B12" s="18" t="n">
        <v>0</v>
      </c>
      <c r="C12" s="16"/>
      <c r="D12" s="14" t="str">
        <f aca="false">IF(F12="OK",B12*C12,"")</f>
        <v/>
      </c>
      <c r="E12" s="6"/>
      <c r="F12" s="29" t="str">
        <f aca="false">IFERROR(IF(OR(B12="",B12=0),"Ikke med",IF(OR(NOT(ISNUMBER(B12)),B12&lt;0,B12&lt;&gt;INT(B12)),"FEIL: antall",IF(A12="","FEIL: angi navn",IF(OR(C12="",NOT(ISNUMBER(C12)),C12&lt;0),"FEIL: angi Δp per enhet","OK")))),"FEIL: kontroller tall")</f>
        <v>Ikke med</v>
      </c>
    </row>
    <row r="13" customFormat="false" ht="22.5" hidden="false" customHeight="true" outlineLevel="0" collapsed="false">
      <c r="A13" s="6"/>
      <c r="B13" s="18" t="n">
        <v>0</v>
      </c>
      <c r="C13" s="16"/>
      <c r="D13" s="14" t="str">
        <f aca="false">IF(F13="OK",B13*C13,"")</f>
        <v/>
      </c>
      <c r="E13" s="6"/>
      <c r="F13" s="29" t="str">
        <f aca="false">IFERROR(IF(OR(B13="",B13=0),"Ikke med",IF(OR(NOT(ISNUMBER(B13)),B13&lt;0,B13&lt;&gt;INT(B13)),"FEIL: antall",IF(A13="","FEIL: angi navn",IF(OR(C13="",NOT(ISNUMBER(C13)),C13&lt;0),"FEIL: angi Δp per enhet","OK")))),"FEIL: kontroller tall")</f>
        <v>Ikke med</v>
      </c>
    </row>
    <row r="14" customFormat="false" ht="22.5" hidden="false" customHeight="true" outlineLevel="0" collapsed="false">
      <c r="A14" s="6"/>
      <c r="B14" s="18" t="n">
        <v>0</v>
      </c>
      <c r="C14" s="16"/>
      <c r="D14" s="14" t="str">
        <f aca="false">IF(F14="OK",B14*C14,"")</f>
        <v/>
      </c>
      <c r="E14" s="6"/>
      <c r="F14" s="29" t="str">
        <f aca="false">IFERROR(IF(OR(B14="",B14=0),"Ikke med",IF(OR(NOT(ISNUMBER(B14)),B14&lt;0,B14&lt;&gt;INT(B14)),"FEIL: antall",IF(A14="","FEIL: angi navn",IF(OR(C14="",NOT(ISNUMBER(C14)),C14&lt;0),"FEIL: angi Δp per enhet","OK")))),"FEIL: kontroller tall")</f>
        <v>Ikke med</v>
      </c>
    </row>
    <row r="15" customFormat="false" ht="22.5" hidden="false" customHeight="true" outlineLevel="0" collapsed="false">
      <c r="A15" s="6"/>
      <c r="B15" s="18" t="n">
        <v>0</v>
      </c>
      <c r="C15" s="16"/>
      <c r="D15" s="14" t="str">
        <f aca="false">IF(F15="OK",B15*C15,"")</f>
        <v/>
      </c>
      <c r="E15" s="6"/>
      <c r="F15" s="29" t="str">
        <f aca="false">IFERROR(IF(OR(B15="",B15=0),"Ikke med",IF(OR(NOT(ISNUMBER(B15)),B15&lt;0,B15&lt;&gt;INT(B15)),"FEIL: antall",IF(A15="","FEIL: angi navn",IF(OR(C15="",NOT(ISNUMBER(C15)),C15&lt;0),"FEIL: angi Δp per enhet","OK")))),"FEIL: kontroller tall")</f>
        <v>Ikke med</v>
      </c>
    </row>
    <row r="16" customFormat="false" ht="22.5" hidden="false" customHeight="true" outlineLevel="0" collapsed="false">
      <c r="A16" s="6"/>
      <c r="B16" s="18" t="n">
        <v>0</v>
      </c>
      <c r="C16" s="16"/>
      <c r="D16" s="14" t="str">
        <f aca="false">IF(F16="OK",B16*C16,"")</f>
        <v/>
      </c>
      <c r="E16" s="6"/>
      <c r="F16" s="29" t="str">
        <f aca="false">IFERROR(IF(OR(B16="",B16=0),"Ikke med",IF(OR(NOT(ISNUMBER(B16)),B16&lt;0,B16&lt;&gt;INT(B16)),"FEIL: antall",IF(A16="","FEIL: angi navn",IF(OR(C16="",NOT(ISNUMBER(C16)),C16&lt;0),"FEIL: angi Δp per enhet","OK")))),"FEIL: kontroller tall")</f>
        <v>Ikke med</v>
      </c>
    </row>
    <row r="17" customFormat="false" ht="22.5" hidden="false" customHeight="true" outlineLevel="0" collapsed="false">
      <c r="A17" s="6"/>
      <c r="B17" s="18" t="n">
        <v>0</v>
      </c>
      <c r="C17" s="16"/>
      <c r="D17" s="14" t="str">
        <f aca="false">IF(F17="OK",B17*C17,"")</f>
        <v/>
      </c>
      <c r="E17" s="6"/>
      <c r="F17" s="29" t="str">
        <f aca="false">IFERROR(IF(OR(B17="",B17=0),"Ikke med",IF(OR(NOT(ISNUMBER(B17)),B17&lt;0,B17&lt;&gt;INT(B17)),"FEIL: antall",IF(A17="","FEIL: angi navn",IF(OR(C17="",NOT(ISNUMBER(C17)),C17&lt;0),"FEIL: angi Δp per enhet","OK")))),"FEIL: kontroller tall")</f>
        <v>Ikke med</v>
      </c>
    </row>
    <row r="18" customFormat="false" ht="22.5" hidden="false" customHeight="true" outlineLevel="0" collapsed="false">
      <c r="A18" s="6"/>
      <c r="B18" s="18" t="n">
        <v>0</v>
      </c>
      <c r="C18" s="16"/>
      <c r="D18" s="14" t="str">
        <f aca="false">IF(F18="OK",B18*C18,"")</f>
        <v/>
      </c>
      <c r="E18" s="6"/>
      <c r="F18" s="29" t="str">
        <f aca="false">IFERROR(IF(OR(B18="",B18=0),"Ikke med",IF(OR(NOT(ISNUMBER(B18)),B18&lt;0,B18&lt;&gt;INT(B18)),"FEIL: antall",IF(A18="","FEIL: angi navn",IF(OR(C18="",NOT(ISNUMBER(C18)),C18&lt;0),"FEIL: angi Δp per enhet","OK")))),"FEIL: kontroller tall")</f>
        <v>Ikke med</v>
      </c>
    </row>
    <row r="19" customFormat="false" ht="22.5" hidden="false" customHeight="true" outlineLevel="0" collapsed="false">
      <c r="A19" s="6"/>
      <c r="B19" s="18" t="n">
        <v>0</v>
      </c>
      <c r="C19" s="16"/>
      <c r="D19" s="14" t="str">
        <f aca="false">IF(F19="OK",B19*C19,"")</f>
        <v/>
      </c>
      <c r="E19" s="6"/>
      <c r="F19" s="29" t="str">
        <f aca="false">IFERROR(IF(OR(B19="",B19=0),"Ikke med",IF(OR(NOT(ISNUMBER(B19)),B19&lt;0,B19&lt;&gt;INT(B19)),"FEIL: antall",IF(A19="","FEIL: angi navn",IF(OR(C19="",NOT(ISNUMBER(C19)),C19&lt;0),"FEIL: angi Δp per enhet","OK")))),"FEIL: kontroller tall")</f>
        <v>Ikke med</v>
      </c>
    </row>
    <row r="20" customFormat="false" ht="22.5" hidden="false" customHeight="true" outlineLevel="0" collapsed="false">
      <c r="A20" s="6"/>
      <c r="B20" s="18" t="n">
        <v>0</v>
      </c>
      <c r="C20" s="16"/>
      <c r="D20" s="14" t="str">
        <f aca="false">IF(F20="OK",B20*C20,"")</f>
        <v/>
      </c>
      <c r="E20" s="6"/>
      <c r="F20" s="29" t="str">
        <f aca="false">IFERROR(IF(OR(B20="",B20=0),"Ikke med",IF(OR(NOT(ISNUMBER(B20)),B20&lt;0,B20&lt;&gt;INT(B20)),"FEIL: antall",IF(A20="","FEIL: angi navn",IF(OR(C20="",NOT(ISNUMBER(C20)),C20&lt;0),"FEIL: angi Δp per enhet","OK")))),"FEIL: kontroller tall")</f>
        <v>Ikke med</v>
      </c>
    </row>
    <row r="21" customFormat="false" ht="22.5" hidden="false" customHeight="true" outlineLevel="0" collapsed="false">
      <c r="A21" s="6"/>
      <c r="B21" s="18" t="n">
        <v>0</v>
      </c>
      <c r="C21" s="16"/>
      <c r="D21" s="14" t="str">
        <f aca="false">IF(F21="OK",B21*C21,"")</f>
        <v/>
      </c>
      <c r="E21" s="6"/>
      <c r="F21" s="29" t="str">
        <f aca="false">IFERROR(IF(OR(B21="",B21=0),"Ikke med",IF(OR(NOT(ISNUMBER(B21)),B21&lt;0,B21&lt;&gt;INT(B21)),"FEIL: antall",IF(A21="","FEIL: angi navn",IF(OR(C21="",NOT(ISNUMBER(C21)),C21&lt;0),"FEIL: angi Δp per enhet","OK")))),"FEIL: kontroller tall")</f>
        <v>Ikke med</v>
      </c>
    </row>
    <row r="22" customFormat="false" ht="22.5" hidden="false" customHeight="true" outlineLevel="0" collapsed="false">
      <c r="A22" s="6"/>
      <c r="B22" s="18" t="n">
        <v>0</v>
      </c>
      <c r="C22" s="16"/>
      <c r="D22" s="14" t="str">
        <f aca="false">IF(F22="OK",B22*C22,"")</f>
        <v/>
      </c>
      <c r="E22" s="6"/>
      <c r="F22" s="29" t="str">
        <f aca="false">IFERROR(IF(OR(B22="",B22=0),"Ikke med",IF(OR(NOT(ISNUMBER(B22)),B22&lt;0,B22&lt;&gt;INT(B22)),"FEIL: antall",IF(A22="","FEIL: angi navn",IF(OR(C22="",NOT(ISNUMBER(C22)),C22&lt;0),"FEIL: angi Δp per enhet","OK")))),"FEIL: kontroller tall")</f>
        <v>Ikke med</v>
      </c>
    </row>
    <row r="23" customFormat="false" ht="22.5" hidden="false" customHeight="true" outlineLevel="0" collapsed="false">
      <c r="A23" s="6"/>
      <c r="B23" s="18" t="n">
        <v>0</v>
      </c>
      <c r="C23" s="16"/>
      <c r="D23" s="14" t="str">
        <f aca="false">IF(F23="OK",B23*C23,"")</f>
        <v/>
      </c>
      <c r="E23" s="6"/>
      <c r="F23" s="29" t="str">
        <f aca="false">IFERROR(IF(OR(B23="",B23=0),"Ikke med",IF(OR(NOT(ISNUMBER(B23)),B23&lt;0,B23&lt;&gt;INT(B23)),"FEIL: antall",IF(A23="","FEIL: angi navn",IF(OR(C23="",NOT(ISNUMBER(C23)),C23&lt;0),"FEIL: angi Δp per enhet","OK")))),"FEIL: kontroller tall")</f>
        <v>Ikke med</v>
      </c>
    </row>
    <row r="24" customFormat="false" ht="22.5" hidden="false" customHeight="true" outlineLevel="0" collapsed="false">
      <c r="A24" s="6"/>
      <c r="B24" s="18" t="n">
        <v>0</v>
      </c>
      <c r="C24" s="16"/>
      <c r="D24" s="14" t="str">
        <f aca="false">IF(F24="OK",B24*C24,"")</f>
        <v/>
      </c>
      <c r="E24" s="6"/>
      <c r="F24" s="29" t="str">
        <f aca="false">IFERROR(IF(OR(B24="",B24=0),"Ikke med",IF(OR(NOT(ISNUMBER(B24)),B24&lt;0,B24&lt;&gt;INT(B24)),"FEIL: antall",IF(A24="","FEIL: angi navn",IF(OR(C24="",NOT(ISNUMBER(C24)),C24&lt;0),"FEIL: angi Δp per enhet","OK")))),"FEIL: kontroller tall")</f>
        <v>Ikke med</v>
      </c>
    </row>
    <row r="25" customFormat="false" ht="22.5" hidden="false" customHeight="true" outlineLevel="0" collapsed="false">
      <c r="A25" s="6"/>
      <c r="B25" s="18" t="n">
        <v>0</v>
      </c>
      <c r="C25" s="16"/>
      <c r="D25" s="14" t="str">
        <f aca="false">IF(F25="OK",B25*C25,"")</f>
        <v/>
      </c>
      <c r="E25" s="6"/>
      <c r="F25" s="29" t="str">
        <f aca="false">IFERROR(IF(OR(B25="",B25=0),"Ikke med",IF(OR(NOT(ISNUMBER(B25)),B25&lt;0,B25&lt;&gt;INT(B25)),"FEIL: antall",IF(A25="","FEIL: angi navn",IF(OR(C25="",NOT(ISNUMBER(C25)),C25&lt;0),"FEIL: angi Δp per enhet","OK")))),"FEIL: kontroller tall")</f>
        <v>Ikke med</v>
      </c>
    </row>
    <row r="26" customFormat="false" ht="22.5" hidden="false" customHeight="true" outlineLevel="0" collapsed="false">
      <c r="A26" s="6"/>
      <c r="B26" s="18" t="n">
        <v>0</v>
      </c>
      <c r="C26" s="16"/>
      <c r="D26" s="14" t="str">
        <f aca="false">IF(F26="OK",B26*C26,"")</f>
        <v/>
      </c>
      <c r="E26" s="6"/>
      <c r="F26" s="29" t="str">
        <f aca="false">IFERROR(IF(OR(B26="",B26=0),"Ikke med",IF(OR(NOT(ISNUMBER(B26)),B26&lt;0,B26&lt;&gt;INT(B26)),"FEIL: antall",IF(A26="","FEIL: angi navn",IF(OR(C26="",NOT(ISNUMBER(C26)),C26&lt;0),"FEIL: angi Δp per enhet","OK")))),"FEIL: kontroller tall")</f>
        <v>Ikke med</v>
      </c>
    </row>
    <row r="27" customFormat="false" ht="22.5" hidden="false" customHeight="true" outlineLevel="0" collapsed="false">
      <c r="A27" s="6"/>
      <c r="B27" s="18" t="n">
        <v>0</v>
      </c>
      <c r="C27" s="16"/>
      <c r="D27" s="14" t="str">
        <f aca="false">IF(F27="OK",B27*C27,"")</f>
        <v/>
      </c>
      <c r="E27" s="6"/>
      <c r="F27" s="29" t="str">
        <f aca="false">IFERROR(IF(OR(B27="",B27=0),"Ikke med",IF(OR(NOT(ISNUMBER(B27)),B27&lt;0,B27&lt;&gt;INT(B27)),"FEIL: antall",IF(A27="","FEIL: angi navn",IF(OR(C27="",NOT(ISNUMBER(C27)),C27&lt;0),"FEIL: angi Δp per enhet","OK")))),"FEIL: kontroller tall")</f>
        <v>Ikke med</v>
      </c>
    </row>
    <row r="28" customFormat="false" ht="22.5" hidden="false" customHeight="true" outlineLevel="0" collapsed="false">
      <c r="A28" s="6"/>
      <c r="B28" s="18" t="n">
        <v>0</v>
      </c>
      <c r="C28" s="16"/>
      <c r="D28" s="14" t="str">
        <f aca="false">IF(F28="OK",B28*C28,"")</f>
        <v/>
      </c>
      <c r="E28" s="6"/>
      <c r="F28" s="29" t="str">
        <f aca="false">IFERROR(IF(OR(B28="",B28=0),"Ikke med",IF(OR(NOT(ISNUMBER(B28)),B28&lt;0,B28&lt;&gt;INT(B28)),"FEIL: antall",IF(A28="","FEIL: angi navn",IF(OR(C28="",NOT(ISNUMBER(C28)),C28&lt;0),"FEIL: angi Δp per enhet","OK")))),"FEIL: kontroller tall")</f>
        <v>Ikke med</v>
      </c>
    </row>
    <row r="29" customFormat="false" ht="22.5" hidden="false" customHeight="true" outlineLevel="0" collapsed="false">
      <c r="A29" s="6"/>
      <c r="B29" s="18" t="n">
        <v>0</v>
      </c>
      <c r="C29" s="16"/>
      <c r="D29" s="14" t="str">
        <f aca="false">IF(F29="OK",B29*C29,"")</f>
        <v/>
      </c>
      <c r="E29" s="6"/>
      <c r="F29" s="29" t="str">
        <f aca="false">IFERROR(IF(OR(B29="",B29=0),"Ikke med",IF(OR(NOT(ISNUMBER(B29)),B29&lt;0,B29&lt;&gt;INT(B29)),"FEIL: antall",IF(A29="","FEIL: angi navn",IF(OR(C29="",NOT(ISNUMBER(C29)),C29&lt;0),"FEIL: angi Δp per enhet","OK")))),"FEIL: kontroller tall")</f>
        <v>Ikke med</v>
      </c>
    </row>
    <row r="30" customFormat="false" ht="22.5" hidden="false" customHeight="true" outlineLevel="0" collapsed="false">
      <c r="A30" s="6"/>
      <c r="B30" s="18" t="n">
        <v>0</v>
      </c>
      <c r="C30" s="16"/>
      <c r="D30" s="14" t="str">
        <f aca="false">IF(F30="OK",B30*C30,"")</f>
        <v/>
      </c>
      <c r="E30" s="6"/>
      <c r="F30" s="29" t="str">
        <f aca="false">IFERROR(IF(OR(B30="",B30=0),"Ikke med",IF(OR(NOT(ISNUMBER(B30)),B30&lt;0,B30&lt;&gt;INT(B30)),"FEIL: antall",IF(A30="","FEIL: angi navn",IF(OR(C30="",NOT(ISNUMBER(C30)),C30&lt;0),"FEIL: angi Δp per enhet","OK")))),"FEIL: kontroller tall")</f>
        <v>Ikke med</v>
      </c>
    </row>
    <row r="31" customFormat="false" ht="22.5" hidden="false" customHeight="true" outlineLevel="0" collapsed="false">
      <c r="A31" s="6"/>
      <c r="B31" s="18" t="n">
        <v>0</v>
      </c>
      <c r="C31" s="16"/>
      <c r="D31" s="14" t="str">
        <f aca="false">IF(F31="OK",B31*C31,"")</f>
        <v/>
      </c>
      <c r="E31" s="6"/>
      <c r="F31" s="29" t="str">
        <f aca="false">IFERROR(IF(OR(B31="",B31=0),"Ikke med",IF(OR(NOT(ISNUMBER(B31)),B31&lt;0,B31&lt;&gt;INT(B31)),"FEIL: antall",IF(A31="","FEIL: angi navn",IF(OR(C31="",NOT(ISNUMBER(C31)),C31&lt;0),"FEIL: angi Δp per enhet","OK")))),"FEIL: kontroller tall")</f>
        <v>Ikke med</v>
      </c>
    </row>
    <row r="32" customFormat="false" ht="22.5" hidden="false" customHeight="true" outlineLevel="0" collapsed="false"/>
    <row r="33" customFormat="false" ht="22.5" hidden="false" customHeight="true" outlineLevel="0" collapsed="false">
      <c r="A33" s="24" t="s">
        <v>92</v>
      </c>
      <c r="B33" s="24"/>
      <c r="C33" s="24"/>
      <c r="D33" s="31" t="n">
        <f aca="false">SUM(D7:D31)</f>
        <v>0</v>
      </c>
    </row>
    <row r="34" customFormat="false" ht="22.5" hidden="false" customHeight="true" outlineLevel="0" collapsed="false"/>
    <row r="35" customFormat="false" ht="22.5" hidden="false" customHeight="true" outlineLevel="0" collapsed="false">
      <c r="A35" s="26" t="s">
        <v>93</v>
      </c>
      <c r="B35" s="26"/>
      <c r="C35" s="26"/>
      <c r="D35" s="26"/>
      <c r="E35" s="26"/>
      <c r="F35" s="26"/>
    </row>
    <row r="36" customFormat="false" ht="22.5" hidden="false" customHeight="true" outlineLevel="0" collapsed="false">
      <c r="A36" s="26"/>
      <c r="B36" s="26"/>
      <c r="C36" s="26"/>
      <c r="D36" s="26"/>
      <c r="E36" s="26"/>
      <c r="F36" s="26"/>
    </row>
    <row r="37" customFormat="false" ht="22.5" hidden="false" customHeight="true" outlineLevel="0" collapsed="false"/>
    <row r="38" customFormat="false" ht="22.5" hidden="false" customHeight="true" outlineLevel="0" collapsed="false"/>
    <row r="39" customFormat="false" ht="22.5" hidden="false" customHeight="true" outlineLevel="0" collapsed="false"/>
    <row r="40" customFormat="false" ht="22.5" hidden="false" customHeight="true" outlineLevel="0" collapsed="false"/>
    <row r="41" customFormat="false" ht="22.5" hidden="false" customHeight="true" outlineLevel="0" collapsed="false"/>
    <row r="42" customFormat="false" ht="22.5" hidden="false" customHeight="true" outlineLevel="0" collapsed="false"/>
    <row r="43" customFormat="false" ht="22.5" hidden="false" customHeight="true" outlineLevel="0" collapsed="false"/>
    <row r="44" customFormat="false" ht="22.5" hidden="false" customHeight="true" outlineLevel="0" collapsed="false"/>
    <row r="45" customFormat="false" ht="22.5" hidden="false" customHeight="true" outlineLevel="0" collapsed="false"/>
    <row r="46" customFormat="false" ht="22.5" hidden="false" customHeight="true" outlineLevel="0" collapsed="false"/>
    <row r="47" customFormat="false" ht="22.5" hidden="false" customHeight="true" outlineLevel="0" collapsed="false"/>
    <row r="48" customFormat="false" ht="22.5" hidden="false" customHeight="true" outlineLevel="0" collapsed="false"/>
    <row r="49" customFormat="false" ht="22.5" hidden="false" customHeight="true" outlineLevel="0" collapsed="false"/>
    <row r="50" customFormat="false" ht="22.5" hidden="false" customHeight="true" outlineLevel="0" collapsed="false"/>
    <row r="51" customFormat="false" ht="22.5" hidden="false" customHeight="true" outlineLevel="0" collapsed="false"/>
    <row r="52" customFormat="false" ht="22.5" hidden="false" customHeight="true" outlineLevel="0" collapsed="false"/>
    <row r="53" customFormat="false" ht="22.5" hidden="false" customHeight="true" outlineLevel="0" collapsed="false"/>
    <row r="54" customFormat="false" ht="22.5" hidden="false" customHeight="true" outlineLevel="0" collapsed="false"/>
  </sheetData>
  <autoFilter ref="A6:F31"/>
  <mergeCells count="6">
    <mergeCell ref="A1:F2"/>
    <mergeCell ref="A3:F3"/>
    <mergeCell ref="A4:F4"/>
    <mergeCell ref="A5:F5"/>
    <mergeCell ref="A33:C33"/>
    <mergeCell ref="A35:F36"/>
  </mergeCells>
  <conditionalFormatting sqref="F7:F31">
    <cfRule type="expression" priority="2" aboveAverage="0" equalAverage="0" bottom="0" percent="0" rank="0" text="" dxfId="0">
      <formula>LEFT(F7,4)="FEIL"</formula>
    </cfRule>
  </conditionalFormatting>
  <dataValidations xmlns="http://schemas.openxmlformats.org/spreadsheetml/2006/main" count="2">
    <dataValidation sqref="B7:B31" showDropDown="0" showInputMessage="0" showErrorMessage="1" allowBlank="1" errorTitle="Ugyldig tall" error="Oppgi et heltall mellom 0 og 100000." type="whole" operator="between">
      <formula1>0</formula1>
      <formula2>100000</formula2>
    </dataValidation>
    <dataValidation sqref="C7:C31" showDropDown="0" showInputMessage="0" showErrorMessage="1" allowBlank="1" errorTitle="Ugyldig tall" error="Oppgi et tall mellom 0 og 1000000000.0." type="decimal" operator="between">
      <formula1>0</formula1>
      <formula2>1000000000.0</formula2>
    </dataValidation>
  </dataValidations>
  <printOptions headings="false" gridLines="false" gridLinesSet="true" horizontalCentered="false" verticalCentered="false"/>
  <pageMargins left="0.25" right="0.25" top="0.35" bottom="0.35" header="0.511811023622047" footer="0.15"/>
  <pageSetup paperSize="8" scale="100" fitToWidth="1" fitToHeight="1" pageOrder="downThenOver" orientation="landscape" blackAndWhite="false" draft="false" cellComments="none" horizontalDpi="300" verticalDpi="300" copies="1"/>
  <headerFooter differentFirst="false" differentOddEven="false">
    <oddHeader/>
    <oddFooter>&amp;C&amp;8 R-rdimensjonering | &amp;A | side &amp;P av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C"/>
    <pageSetUpPr fitToPage="true"/>
  </sheetPr>
  <dimension ref="A1:F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5"/>
    <col collapsed="false" customWidth="true" hidden="false" outlineLevel="0" max="2" min="2" style="0" width="12"/>
    <col collapsed="false" customWidth="true" hidden="false" outlineLevel="0" max="4" min="3" style="0" width="24"/>
    <col collapsed="false" customWidth="true" hidden="false" outlineLevel="0" max="5" min="5" style="0" width="65"/>
    <col collapsed="false" customWidth="true" hidden="false" outlineLevel="0" max="6" min="6" style="0" width="34"/>
  </cols>
  <sheetData>
    <row r="1" customFormat="false" ht="22.5" hidden="false" customHeight="true" outlineLevel="0" collapsed="false">
      <c r="A1" s="1" t="s">
        <v>94</v>
      </c>
      <c r="B1" s="1"/>
      <c r="C1" s="1"/>
      <c r="D1" s="1"/>
      <c r="E1" s="1"/>
      <c r="F1" s="1"/>
    </row>
    <row r="2" customFormat="false" ht="22.5" hidden="false" customHeight="true" outlineLevel="0" collapsed="false">
      <c r="A2" s="1"/>
      <c r="B2" s="1"/>
      <c r="C2" s="1"/>
      <c r="D2" s="1"/>
      <c r="E2" s="1"/>
      <c r="F2" s="1"/>
    </row>
    <row r="3" customFormat="false" ht="22.5" hidden="false" customHeight="true" outlineLevel="0" collapsed="false">
      <c r="A3" s="2" t="s">
        <v>83</v>
      </c>
      <c r="B3" s="2"/>
      <c r="C3" s="2"/>
      <c r="D3" s="2"/>
      <c r="E3" s="2"/>
      <c r="F3" s="2"/>
    </row>
    <row r="4" customFormat="false" ht="22.5" hidden="false" customHeight="true" outlineLevel="0" collapsed="false">
      <c r="A4" s="27" t="s">
        <v>84</v>
      </c>
      <c r="B4" s="27"/>
      <c r="C4" s="27"/>
      <c r="D4" s="27"/>
      <c r="E4" s="27"/>
      <c r="F4" s="27"/>
    </row>
    <row r="5" customFormat="false" ht="22.5" hidden="false" customHeight="true" outlineLevel="0" collapsed="false">
      <c r="A5" s="28" t="s">
        <v>85</v>
      </c>
      <c r="B5" s="28"/>
      <c r="C5" s="28"/>
      <c r="D5" s="28"/>
      <c r="E5" s="28"/>
      <c r="F5" s="28"/>
    </row>
    <row r="6" customFormat="false" ht="36" hidden="false" customHeight="true" outlineLevel="0" collapsed="false">
      <c r="A6" s="29" t="s">
        <v>86</v>
      </c>
      <c r="B6" s="29" t="s">
        <v>67</v>
      </c>
      <c r="C6" s="29" t="s">
        <v>72</v>
      </c>
      <c r="D6" s="29" t="s">
        <v>73</v>
      </c>
      <c r="E6" s="29" t="s">
        <v>75</v>
      </c>
      <c r="F6" s="29" t="s">
        <v>74</v>
      </c>
    </row>
    <row r="7" customFormat="false" ht="22.5" hidden="false" customHeight="true" outlineLevel="0" collapsed="false">
      <c r="A7" s="6" t="s">
        <v>95</v>
      </c>
      <c r="B7" s="18" t="n">
        <v>0</v>
      </c>
      <c r="C7" s="16"/>
      <c r="D7" s="14" t="str">
        <f aca="false">IF(F7="OK",B7*C7,"")</f>
        <v/>
      </c>
      <c r="E7" s="6"/>
      <c r="F7" s="29" t="str">
        <f aca="false">IFERROR(IF(OR(B7="",B7=0),"Ikke med",IF(OR(NOT(ISNUMBER(B7)),B7&lt;0,B7&lt;&gt;INT(B7)),"FEIL: antall",IF(A7="","FEIL: angi navn",IF(OR(C7="",NOT(ISNUMBER(C7)),C7&lt;0),"FEIL: angi Δp per enhet","OK")))),"FEIL: kontroller tall")</f>
        <v>Ikke med</v>
      </c>
    </row>
    <row r="8" customFormat="false" ht="22.5" hidden="false" customHeight="true" outlineLevel="0" collapsed="false">
      <c r="A8" s="6" t="s">
        <v>96</v>
      </c>
      <c r="B8" s="18" t="n">
        <v>0</v>
      </c>
      <c r="C8" s="16"/>
      <c r="D8" s="14" t="str">
        <f aca="false">IF(F8="OK",B8*C8,"")</f>
        <v/>
      </c>
      <c r="E8" s="6"/>
      <c r="F8" s="29" t="str">
        <f aca="false">IFERROR(IF(OR(B8="",B8=0),"Ikke med",IF(OR(NOT(ISNUMBER(B8)),B8&lt;0,B8&lt;&gt;INT(B8)),"FEIL: antall",IF(A8="","FEIL: angi navn",IF(OR(C8="",NOT(ISNUMBER(C8)),C8&lt;0),"FEIL: angi Δp per enhet","OK")))),"FEIL: kontroller tall")</f>
        <v>Ikke med</v>
      </c>
    </row>
    <row r="9" customFormat="false" ht="22.5" hidden="false" customHeight="true" outlineLevel="0" collapsed="false">
      <c r="A9" s="6" t="s">
        <v>97</v>
      </c>
      <c r="B9" s="18" t="n">
        <v>0</v>
      </c>
      <c r="C9" s="16"/>
      <c r="D9" s="14" t="str">
        <f aca="false">IF(F9="OK",B9*C9,"")</f>
        <v/>
      </c>
      <c r="E9" s="6"/>
      <c r="F9" s="29" t="str">
        <f aca="false">IFERROR(IF(OR(B9="",B9=0),"Ikke med",IF(OR(NOT(ISNUMBER(B9)),B9&lt;0,B9&lt;&gt;INT(B9)),"FEIL: antall",IF(A9="","FEIL: angi navn",IF(OR(C9="",NOT(ISNUMBER(C9)),C9&lt;0),"FEIL: angi Δp per enhet","OK")))),"FEIL: kontroller tall")</f>
        <v>Ikke med</v>
      </c>
    </row>
    <row r="10" customFormat="false" ht="22.5" hidden="false" customHeight="true" outlineLevel="0" collapsed="false">
      <c r="A10" s="6" t="s">
        <v>98</v>
      </c>
      <c r="B10" s="18" t="n">
        <v>0</v>
      </c>
      <c r="C10" s="16"/>
      <c r="D10" s="14" t="str">
        <f aca="false">IF(F10="OK",B10*C10,"")</f>
        <v/>
      </c>
      <c r="E10" s="6"/>
      <c r="F10" s="29" t="str">
        <f aca="false">IFERROR(IF(OR(B10="",B10=0),"Ikke med",IF(OR(NOT(ISNUMBER(B10)),B10&lt;0,B10&lt;&gt;INT(B10)),"FEIL: antall",IF(A10="","FEIL: angi navn",IF(OR(C10="",NOT(ISNUMBER(C10)),C10&lt;0),"FEIL: angi Δp per enhet","OK")))),"FEIL: kontroller tall")</f>
        <v>Ikke med</v>
      </c>
    </row>
    <row r="11" customFormat="false" ht="22.5" hidden="false" customHeight="true" outlineLevel="0" collapsed="false">
      <c r="A11" s="6" t="s">
        <v>99</v>
      </c>
      <c r="B11" s="18" t="n">
        <v>0</v>
      </c>
      <c r="C11" s="16"/>
      <c r="D11" s="14" t="str">
        <f aca="false">IF(F11="OK",B11*C11,"")</f>
        <v/>
      </c>
      <c r="E11" s="6"/>
      <c r="F11" s="29" t="str">
        <f aca="false">IFERROR(IF(OR(B11="",B11=0),"Ikke med",IF(OR(NOT(ISNUMBER(B11)),B11&lt;0,B11&lt;&gt;INT(B11)),"FEIL: antall",IF(A11="","FEIL: angi navn",IF(OR(C11="",NOT(ISNUMBER(C11)),C11&lt;0),"FEIL: angi Δp per enhet","OK")))),"FEIL: kontroller tall")</f>
        <v>Ikke med</v>
      </c>
    </row>
    <row r="12" customFormat="false" ht="22.5" hidden="false" customHeight="true" outlineLevel="0" collapsed="false">
      <c r="A12" s="6"/>
      <c r="B12" s="18" t="n">
        <v>0</v>
      </c>
      <c r="C12" s="16"/>
      <c r="D12" s="14" t="str">
        <f aca="false">IF(F12="OK",B12*C12,"")</f>
        <v/>
      </c>
      <c r="E12" s="6"/>
      <c r="F12" s="29" t="str">
        <f aca="false">IFERROR(IF(OR(B12="",B12=0),"Ikke med",IF(OR(NOT(ISNUMBER(B12)),B12&lt;0,B12&lt;&gt;INT(B12)),"FEIL: antall",IF(A12="","FEIL: angi navn",IF(OR(C12="",NOT(ISNUMBER(C12)),C12&lt;0),"FEIL: angi Δp per enhet","OK")))),"FEIL: kontroller tall")</f>
        <v>Ikke med</v>
      </c>
    </row>
    <row r="13" customFormat="false" ht="22.5" hidden="false" customHeight="true" outlineLevel="0" collapsed="false">
      <c r="A13" s="6"/>
      <c r="B13" s="18" t="n">
        <v>0</v>
      </c>
      <c r="C13" s="16"/>
      <c r="D13" s="14" t="str">
        <f aca="false">IF(F13="OK",B13*C13,"")</f>
        <v/>
      </c>
      <c r="E13" s="6"/>
      <c r="F13" s="29" t="str">
        <f aca="false">IFERROR(IF(OR(B13="",B13=0),"Ikke med",IF(OR(NOT(ISNUMBER(B13)),B13&lt;0,B13&lt;&gt;INT(B13)),"FEIL: antall",IF(A13="","FEIL: angi navn",IF(OR(C13="",NOT(ISNUMBER(C13)),C13&lt;0),"FEIL: angi Δp per enhet","OK")))),"FEIL: kontroller tall")</f>
        <v>Ikke med</v>
      </c>
    </row>
    <row r="14" customFormat="false" ht="22.5" hidden="false" customHeight="true" outlineLevel="0" collapsed="false">
      <c r="A14" s="6"/>
      <c r="B14" s="18" t="n">
        <v>0</v>
      </c>
      <c r="C14" s="16"/>
      <c r="D14" s="14" t="str">
        <f aca="false">IF(F14="OK",B14*C14,"")</f>
        <v/>
      </c>
      <c r="E14" s="6"/>
      <c r="F14" s="29" t="str">
        <f aca="false">IFERROR(IF(OR(B14="",B14=0),"Ikke med",IF(OR(NOT(ISNUMBER(B14)),B14&lt;0,B14&lt;&gt;INT(B14)),"FEIL: antall",IF(A14="","FEIL: angi navn",IF(OR(C14="",NOT(ISNUMBER(C14)),C14&lt;0),"FEIL: angi Δp per enhet","OK")))),"FEIL: kontroller tall")</f>
        <v>Ikke med</v>
      </c>
    </row>
    <row r="15" customFormat="false" ht="22.5" hidden="false" customHeight="true" outlineLevel="0" collapsed="false">
      <c r="A15" s="6"/>
      <c r="B15" s="18" t="n">
        <v>0</v>
      </c>
      <c r="C15" s="16"/>
      <c r="D15" s="14" t="str">
        <f aca="false">IF(F15="OK",B15*C15,"")</f>
        <v/>
      </c>
      <c r="E15" s="6"/>
      <c r="F15" s="29" t="str">
        <f aca="false">IFERROR(IF(OR(B15="",B15=0),"Ikke med",IF(OR(NOT(ISNUMBER(B15)),B15&lt;0,B15&lt;&gt;INT(B15)),"FEIL: antall",IF(A15="","FEIL: angi navn",IF(OR(C15="",NOT(ISNUMBER(C15)),C15&lt;0),"FEIL: angi Δp per enhet","OK")))),"FEIL: kontroller tall")</f>
        <v>Ikke med</v>
      </c>
    </row>
    <row r="16" customFormat="false" ht="22.5" hidden="false" customHeight="true" outlineLevel="0" collapsed="false">
      <c r="A16" s="6"/>
      <c r="B16" s="18" t="n">
        <v>0</v>
      </c>
      <c r="C16" s="16"/>
      <c r="D16" s="14" t="str">
        <f aca="false">IF(F16="OK",B16*C16,"")</f>
        <v/>
      </c>
      <c r="E16" s="6"/>
      <c r="F16" s="29" t="str">
        <f aca="false">IFERROR(IF(OR(B16="",B16=0),"Ikke med",IF(OR(NOT(ISNUMBER(B16)),B16&lt;0,B16&lt;&gt;INT(B16)),"FEIL: antall",IF(A16="","FEIL: angi navn",IF(OR(C16="",NOT(ISNUMBER(C16)),C16&lt;0),"FEIL: angi Δp per enhet","OK")))),"FEIL: kontroller tall")</f>
        <v>Ikke med</v>
      </c>
    </row>
    <row r="17" customFormat="false" ht="22.5" hidden="false" customHeight="true" outlineLevel="0" collapsed="false">
      <c r="A17" s="6"/>
      <c r="B17" s="18" t="n">
        <v>0</v>
      </c>
      <c r="C17" s="16"/>
      <c r="D17" s="14" t="str">
        <f aca="false">IF(F17="OK",B17*C17,"")</f>
        <v/>
      </c>
      <c r="E17" s="6"/>
      <c r="F17" s="29" t="str">
        <f aca="false">IFERROR(IF(OR(B17="",B17=0),"Ikke med",IF(OR(NOT(ISNUMBER(B17)),B17&lt;0,B17&lt;&gt;INT(B17)),"FEIL: antall",IF(A17="","FEIL: angi navn",IF(OR(C17="",NOT(ISNUMBER(C17)),C17&lt;0),"FEIL: angi Δp per enhet","OK")))),"FEIL: kontroller tall")</f>
        <v>Ikke med</v>
      </c>
    </row>
    <row r="18" customFormat="false" ht="22.5" hidden="false" customHeight="true" outlineLevel="0" collapsed="false">
      <c r="A18" s="6"/>
      <c r="B18" s="18" t="n">
        <v>0</v>
      </c>
      <c r="C18" s="16"/>
      <c r="D18" s="14" t="str">
        <f aca="false">IF(F18="OK",B18*C18,"")</f>
        <v/>
      </c>
      <c r="E18" s="6"/>
      <c r="F18" s="29" t="str">
        <f aca="false">IFERROR(IF(OR(B18="",B18=0),"Ikke med",IF(OR(NOT(ISNUMBER(B18)),B18&lt;0,B18&lt;&gt;INT(B18)),"FEIL: antall",IF(A18="","FEIL: angi navn",IF(OR(C18="",NOT(ISNUMBER(C18)),C18&lt;0),"FEIL: angi Δp per enhet","OK")))),"FEIL: kontroller tall")</f>
        <v>Ikke med</v>
      </c>
    </row>
    <row r="19" customFormat="false" ht="22.5" hidden="false" customHeight="true" outlineLevel="0" collapsed="false">
      <c r="A19" s="6"/>
      <c r="B19" s="18" t="n">
        <v>0</v>
      </c>
      <c r="C19" s="16"/>
      <c r="D19" s="14" t="str">
        <f aca="false">IF(F19="OK",B19*C19,"")</f>
        <v/>
      </c>
      <c r="E19" s="6"/>
      <c r="F19" s="29" t="str">
        <f aca="false">IFERROR(IF(OR(B19="",B19=0),"Ikke med",IF(OR(NOT(ISNUMBER(B19)),B19&lt;0,B19&lt;&gt;INT(B19)),"FEIL: antall",IF(A19="","FEIL: angi navn",IF(OR(C19="",NOT(ISNUMBER(C19)),C19&lt;0),"FEIL: angi Δp per enhet","OK")))),"FEIL: kontroller tall")</f>
        <v>Ikke med</v>
      </c>
    </row>
    <row r="20" customFormat="false" ht="22.5" hidden="false" customHeight="true" outlineLevel="0" collapsed="false">
      <c r="A20" s="6"/>
      <c r="B20" s="18" t="n">
        <v>0</v>
      </c>
      <c r="C20" s="16"/>
      <c r="D20" s="14" t="str">
        <f aca="false">IF(F20="OK",B20*C20,"")</f>
        <v/>
      </c>
      <c r="E20" s="6"/>
      <c r="F20" s="29" t="str">
        <f aca="false">IFERROR(IF(OR(B20="",B20=0),"Ikke med",IF(OR(NOT(ISNUMBER(B20)),B20&lt;0,B20&lt;&gt;INT(B20)),"FEIL: antall",IF(A20="","FEIL: angi navn",IF(OR(C20="",NOT(ISNUMBER(C20)),C20&lt;0),"FEIL: angi Δp per enhet","OK")))),"FEIL: kontroller tall")</f>
        <v>Ikke med</v>
      </c>
    </row>
    <row r="21" customFormat="false" ht="22.5" hidden="false" customHeight="true" outlineLevel="0" collapsed="false">
      <c r="A21" s="6"/>
      <c r="B21" s="18" t="n">
        <v>0</v>
      </c>
      <c r="C21" s="16"/>
      <c r="D21" s="14" t="str">
        <f aca="false">IF(F21="OK",B21*C21,"")</f>
        <v/>
      </c>
      <c r="E21" s="6"/>
      <c r="F21" s="29" t="str">
        <f aca="false">IFERROR(IF(OR(B21="",B21=0),"Ikke med",IF(OR(NOT(ISNUMBER(B21)),B21&lt;0,B21&lt;&gt;INT(B21)),"FEIL: antall",IF(A21="","FEIL: angi navn",IF(OR(C21="",NOT(ISNUMBER(C21)),C21&lt;0),"FEIL: angi Δp per enhet","OK")))),"FEIL: kontroller tall")</f>
        <v>Ikke med</v>
      </c>
    </row>
    <row r="22" customFormat="false" ht="22.5" hidden="false" customHeight="true" outlineLevel="0" collapsed="false">
      <c r="A22" s="6"/>
      <c r="B22" s="18" t="n">
        <v>0</v>
      </c>
      <c r="C22" s="16"/>
      <c r="D22" s="14" t="str">
        <f aca="false">IF(F22="OK",B22*C22,"")</f>
        <v/>
      </c>
      <c r="E22" s="6"/>
      <c r="F22" s="29" t="str">
        <f aca="false">IFERROR(IF(OR(B22="",B22=0),"Ikke med",IF(OR(NOT(ISNUMBER(B22)),B22&lt;0,B22&lt;&gt;INT(B22)),"FEIL: antall",IF(A22="","FEIL: angi navn",IF(OR(C22="",NOT(ISNUMBER(C22)),C22&lt;0),"FEIL: angi Δp per enhet","OK")))),"FEIL: kontroller tall")</f>
        <v>Ikke med</v>
      </c>
    </row>
    <row r="23" customFormat="false" ht="22.5" hidden="false" customHeight="true" outlineLevel="0" collapsed="false">
      <c r="A23" s="6"/>
      <c r="B23" s="18" t="n">
        <v>0</v>
      </c>
      <c r="C23" s="16"/>
      <c r="D23" s="14" t="str">
        <f aca="false">IF(F23="OK",B23*C23,"")</f>
        <v/>
      </c>
      <c r="E23" s="6"/>
      <c r="F23" s="29" t="str">
        <f aca="false">IFERROR(IF(OR(B23="",B23=0),"Ikke med",IF(OR(NOT(ISNUMBER(B23)),B23&lt;0,B23&lt;&gt;INT(B23)),"FEIL: antall",IF(A23="","FEIL: angi navn",IF(OR(C23="",NOT(ISNUMBER(C23)),C23&lt;0),"FEIL: angi Δp per enhet","OK")))),"FEIL: kontroller tall")</f>
        <v>Ikke med</v>
      </c>
    </row>
    <row r="24" customFormat="false" ht="22.5" hidden="false" customHeight="true" outlineLevel="0" collapsed="false">
      <c r="A24" s="6"/>
      <c r="B24" s="18" t="n">
        <v>0</v>
      </c>
      <c r="C24" s="16"/>
      <c r="D24" s="14" t="str">
        <f aca="false">IF(F24="OK",B24*C24,"")</f>
        <v/>
      </c>
      <c r="E24" s="6"/>
      <c r="F24" s="29" t="str">
        <f aca="false">IFERROR(IF(OR(B24="",B24=0),"Ikke med",IF(OR(NOT(ISNUMBER(B24)),B24&lt;0,B24&lt;&gt;INT(B24)),"FEIL: antall",IF(A24="","FEIL: angi navn",IF(OR(C24="",NOT(ISNUMBER(C24)),C24&lt;0),"FEIL: angi Δp per enhet","OK")))),"FEIL: kontroller tall")</f>
        <v>Ikke med</v>
      </c>
    </row>
    <row r="25" customFormat="false" ht="22.5" hidden="false" customHeight="true" outlineLevel="0" collapsed="false">
      <c r="A25" s="6"/>
      <c r="B25" s="18" t="n">
        <v>0</v>
      </c>
      <c r="C25" s="16"/>
      <c r="D25" s="14" t="str">
        <f aca="false">IF(F25="OK",B25*C25,"")</f>
        <v/>
      </c>
      <c r="E25" s="6"/>
      <c r="F25" s="29" t="str">
        <f aca="false">IFERROR(IF(OR(B25="",B25=0),"Ikke med",IF(OR(NOT(ISNUMBER(B25)),B25&lt;0,B25&lt;&gt;INT(B25)),"FEIL: antall",IF(A25="","FEIL: angi navn",IF(OR(C25="",NOT(ISNUMBER(C25)),C25&lt;0),"FEIL: angi Δp per enhet","OK")))),"FEIL: kontroller tall")</f>
        <v>Ikke med</v>
      </c>
    </row>
    <row r="26" customFormat="false" ht="22.5" hidden="false" customHeight="true" outlineLevel="0" collapsed="false">
      <c r="A26" s="6"/>
      <c r="B26" s="18" t="n">
        <v>0</v>
      </c>
      <c r="C26" s="16"/>
      <c r="D26" s="14" t="str">
        <f aca="false">IF(F26="OK",B26*C26,"")</f>
        <v/>
      </c>
      <c r="E26" s="6"/>
      <c r="F26" s="29" t="str">
        <f aca="false">IFERROR(IF(OR(B26="",B26=0),"Ikke med",IF(OR(NOT(ISNUMBER(B26)),B26&lt;0,B26&lt;&gt;INT(B26)),"FEIL: antall",IF(A26="","FEIL: angi navn",IF(OR(C26="",NOT(ISNUMBER(C26)),C26&lt;0),"FEIL: angi Δp per enhet","OK")))),"FEIL: kontroller tall")</f>
        <v>Ikke med</v>
      </c>
    </row>
    <row r="27" customFormat="false" ht="22.5" hidden="false" customHeight="true" outlineLevel="0" collapsed="false">
      <c r="A27" s="6"/>
      <c r="B27" s="18" t="n">
        <v>0</v>
      </c>
      <c r="C27" s="16"/>
      <c r="D27" s="14" t="str">
        <f aca="false">IF(F27="OK",B27*C27,"")</f>
        <v/>
      </c>
      <c r="E27" s="6"/>
      <c r="F27" s="29" t="str">
        <f aca="false">IFERROR(IF(OR(B27="",B27=0),"Ikke med",IF(OR(NOT(ISNUMBER(B27)),B27&lt;0,B27&lt;&gt;INT(B27)),"FEIL: antall",IF(A27="","FEIL: angi navn",IF(OR(C27="",NOT(ISNUMBER(C27)),C27&lt;0),"FEIL: angi Δp per enhet","OK")))),"FEIL: kontroller tall")</f>
        <v>Ikke med</v>
      </c>
    </row>
    <row r="28" customFormat="false" ht="22.5" hidden="false" customHeight="true" outlineLevel="0" collapsed="false">
      <c r="A28" s="6"/>
      <c r="B28" s="18" t="n">
        <v>0</v>
      </c>
      <c r="C28" s="16"/>
      <c r="D28" s="14" t="str">
        <f aca="false">IF(F28="OK",B28*C28,"")</f>
        <v/>
      </c>
      <c r="E28" s="6"/>
      <c r="F28" s="29" t="str">
        <f aca="false">IFERROR(IF(OR(B28="",B28=0),"Ikke med",IF(OR(NOT(ISNUMBER(B28)),B28&lt;0,B28&lt;&gt;INT(B28)),"FEIL: antall",IF(A28="","FEIL: angi navn",IF(OR(C28="",NOT(ISNUMBER(C28)),C28&lt;0),"FEIL: angi Δp per enhet","OK")))),"FEIL: kontroller tall")</f>
        <v>Ikke med</v>
      </c>
    </row>
    <row r="29" customFormat="false" ht="22.5" hidden="false" customHeight="true" outlineLevel="0" collapsed="false">
      <c r="A29" s="6"/>
      <c r="B29" s="18" t="n">
        <v>0</v>
      </c>
      <c r="C29" s="16"/>
      <c r="D29" s="14" t="str">
        <f aca="false">IF(F29="OK",B29*C29,"")</f>
        <v/>
      </c>
      <c r="E29" s="6"/>
      <c r="F29" s="29" t="str">
        <f aca="false">IFERROR(IF(OR(B29="",B29=0),"Ikke med",IF(OR(NOT(ISNUMBER(B29)),B29&lt;0,B29&lt;&gt;INT(B29)),"FEIL: antall",IF(A29="","FEIL: angi navn",IF(OR(C29="",NOT(ISNUMBER(C29)),C29&lt;0),"FEIL: angi Δp per enhet","OK")))),"FEIL: kontroller tall")</f>
        <v>Ikke med</v>
      </c>
    </row>
    <row r="30" customFormat="false" ht="22.5" hidden="false" customHeight="true" outlineLevel="0" collapsed="false">
      <c r="A30" s="6"/>
      <c r="B30" s="18" t="n">
        <v>0</v>
      </c>
      <c r="C30" s="16"/>
      <c r="D30" s="14" t="str">
        <f aca="false">IF(F30="OK",B30*C30,"")</f>
        <v/>
      </c>
      <c r="E30" s="6"/>
      <c r="F30" s="29" t="str">
        <f aca="false">IFERROR(IF(OR(B30="",B30=0),"Ikke med",IF(OR(NOT(ISNUMBER(B30)),B30&lt;0,B30&lt;&gt;INT(B30)),"FEIL: antall",IF(A30="","FEIL: angi navn",IF(OR(C30="",NOT(ISNUMBER(C30)),C30&lt;0),"FEIL: angi Δp per enhet","OK")))),"FEIL: kontroller tall")</f>
        <v>Ikke med</v>
      </c>
    </row>
    <row r="31" customFormat="false" ht="22.5" hidden="false" customHeight="true" outlineLevel="0" collapsed="false">
      <c r="A31" s="6"/>
      <c r="B31" s="18" t="n">
        <v>0</v>
      </c>
      <c r="C31" s="16"/>
      <c r="D31" s="14" t="str">
        <f aca="false">IF(F31="OK",B31*C31,"")</f>
        <v/>
      </c>
      <c r="E31" s="6"/>
      <c r="F31" s="29" t="str">
        <f aca="false">IFERROR(IF(OR(B31="",B31=0),"Ikke med",IF(OR(NOT(ISNUMBER(B31)),B31&lt;0,B31&lt;&gt;INT(B31)),"FEIL: antall",IF(A31="","FEIL: angi navn",IF(OR(C31="",NOT(ISNUMBER(C31)),C31&lt;0),"FEIL: angi Δp per enhet","OK")))),"FEIL: kontroller tall")</f>
        <v>Ikke med</v>
      </c>
    </row>
    <row r="32" customFormat="false" ht="22.5" hidden="false" customHeight="true" outlineLevel="0" collapsed="false"/>
    <row r="33" customFormat="false" ht="22.5" hidden="false" customHeight="true" outlineLevel="0" collapsed="false">
      <c r="A33" s="24" t="s">
        <v>92</v>
      </c>
      <c r="B33" s="24"/>
      <c r="C33" s="24"/>
      <c r="D33" s="31" t="n">
        <f aca="false">SUM(D7:D31)</f>
        <v>0</v>
      </c>
    </row>
    <row r="34" customFormat="false" ht="22.5" hidden="false" customHeight="true" outlineLevel="0" collapsed="false"/>
    <row r="35" customFormat="false" ht="22.5" hidden="false" customHeight="true" outlineLevel="0" collapsed="false">
      <c r="A35" s="26" t="s">
        <v>93</v>
      </c>
      <c r="B35" s="26"/>
      <c r="C35" s="26"/>
      <c r="D35" s="26"/>
      <c r="E35" s="26"/>
      <c r="F35" s="26"/>
    </row>
    <row r="36" customFormat="false" ht="22.5" hidden="false" customHeight="true" outlineLevel="0" collapsed="false">
      <c r="A36" s="26"/>
      <c r="B36" s="26"/>
      <c r="C36" s="26"/>
      <c r="D36" s="26"/>
      <c r="E36" s="26"/>
      <c r="F36" s="26"/>
    </row>
    <row r="37" customFormat="false" ht="22.5" hidden="false" customHeight="true" outlineLevel="0" collapsed="false"/>
    <row r="38" customFormat="false" ht="22.5" hidden="false" customHeight="true" outlineLevel="0" collapsed="false"/>
    <row r="39" customFormat="false" ht="22.5" hidden="false" customHeight="true" outlineLevel="0" collapsed="false"/>
    <row r="40" customFormat="false" ht="22.5" hidden="false" customHeight="true" outlineLevel="0" collapsed="false"/>
    <row r="41" customFormat="false" ht="22.5" hidden="false" customHeight="true" outlineLevel="0" collapsed="false"/>
    <row r="42" customFormat="false" ht="22.5" hidden="false" customHeight="true" outlineLevel="0" collapsed="false"/>
    <row r="43" customFormat="false" ht="22.5" hidden="false" customHeight="true" outlineLevel="0" collapsed="false"/>
    <row r="44" customFormat="false" ht="22.5" hidden="false" customHeight="true" outlineLevel="0" collapsed="false"/>
    <row r="45" customFormat="false" ht="22.5" hidden="false" customHeight="true" outlineLevel="0" collapsed="false"/>
    <row r="46" customFormat="false" ht="22.5" hidden="false" customHeight="true" outlineLevel="0" collapsed="false"/>
    <row r="47" customFormat="false" ht="22.5" hidden="false" customHeight="true" outlineLevel="0" collapsed="false"/>
    <row r="48" customFormat="false" ht="22.5" hidden="false" customHeight="true" outlineLevel="0" collapsed="false"/>
    <row r="49" customFormat="false" ht="22.5" hidden="false" customHeight="true" outlineLevel="0" collapsed="false"/>
    <row r="50" customFormat="false" ht="22.5" hidden="false" customHeight="true" outlineLevel="0" collapsed="false"/>
    <row r="51" customFormat="false" ht="22.5" hidden="false" customHeight="true" outlineLevel="0" collapsed="false"/>
    <row r="52" customFormat="false" ht="22.5" hidden="false" customHeight="true" outlineLevel="0" collapsed="false"/>
    <row r="53" customFormat="false" ht="22.5" hidden="false" customHeight="true" outlineLevel="0" collapsed="false"/>
    <row r="54" customFormat="false" ht="22.5" hidden="false" customHeight="true" outlineLevel="0" collapsed="false"/>
  </sheetData>
  <autoFilter ref="A6:F31"/>
  <mergeCells count="6">
    <mergeCell ref="A1:F2"/>
    <mergeCell ref="A3:F3"/>
    <mergeCell ref="A4:F4"/>
    <mergeCell ref="A5:F5"/>
    <mergeCell ref="A33:C33"/>
    <mergeCell ref="A35:F36"/>
  </mergeCells>
  <conditionalFormatting sqref="F7:F31">
    <cfRule type="expression" priority="2" aboveAverage="0" equalAverage="0" bottom="0" percent="0" rank="0" text="" dxfId="0">
      <formula>LEFT(F7,4)="FEIL"</formula>
    </cfRule>
  </conditionalFormatting>
  <dataValidations xmlns="http://schemas.openxmlformats.org/spreadsheetml/2006/main" count="2">
    <dataValidation sqref="B7:B31" showDropDown="0" showInputMessage="0" showErrorMessage="1" allowBlank="1" errorTitle="Ugyldig tall" error="Oppgi et heltall mellom 0 og 100000." type="whole" operator="between">
      <formula1>0</formula1>
      <formula2>100000</formula2>
    </dataValidation>
    <dataValidation sqref="C7:C31" showDropDown="0" showInputMessage="0" showErrorMessage="1" allowBlank="1" errorTitle="Ugyldig tall" error="Oppgi et tall mellom 0 og 1000000000.0." type="decimal" operator="between">
      <formula1>0</formula1>
      <formula2>1000000000.0</formula2>
    </dataValidation>
  </dataValidations>
  <printOptions headings="false" gridLines="false" gridLinesSet="true" horizontalCentered="false" verticalCentered="false"/>
  <pageMargins left="0.25" right="0.25" top="0.35" bottom="0.35" header="0.511811023622047" footer="0.15"/>
  <pageSetup paperSize="8" scale="100" fitToWidth="1" fitToHeight="1" pageOrder="downThenOver" orientation="landscape" blackAndWhite="false" draft="false" cellComments="none" horizontalDpi="300" verticalDpi="300" copies="1"/>
  <headerFooter differentFirst="false" differentOddEven="false">
    <oddHeader/>
    <oddFooter>&amp;C&amp;8 R-rdimensjonering | &amp;A | side &amp;P av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C"/>
    <pageSetUpPr fitToPage="true"/>
  </sheetPr>
  <dimension ref="A1:C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15"/>
  </cols>
  <sheetData>
    <row r="1" customFormat="false" ht="22.5" hidden="false" customHeight="true" outlineLevel="0" collapsed="false">
      <c r="A1" s="1" t="s">
        <v>100</v>
      </c>
      <c r="B1" s="1"/>
      <c r="C1" s="1"/>
    </row>
    <row r="2" customFormat="false" ht="22.5" hidden="false" customHeight="true" outlineLevel="0" collapsed="false">
      <c r="A2" s="1"/>
      <c r="B2" s="1"/>
      <c r="C2" s="1"/>
    </row>
    <row r="3" customFormat="false" ht="22.5" hidden="false" customHeight="true" outlineLevel="0" collapsed="false">
      <c r="A3" s="2" t="s">
        <v>101</v>
      </c>
      <c r="B3" s="2"/>
      <c r="C3" s="2"/>
    </row>
    <row r="4" customFormat="false" ht="22.5" hidden="false" customHeight="true" outlineLevel="0" collapsed="false"/>
    <row r="5" customFormat="false" ht="22.5" hidden="false" customHeight="true" outlineLevel="0" collapsed="false"/>
    <row r="6" customFormat="false" ht="78" hidden="false" customHeight="true" outlineLevel="0" collapsed="false">
      <c r="A6" s="29" t="n">
        <v>1</v>
      </c>
      <c r="B6" s="29" t="s">
        <v>102</v>
      </c>
      <c r="C6" s="29" t="s">
        <v>103</v>
      </c>
    </row>
    <row r="7" customFormat="false" ht="78" hidden="false" customHeight="true" outlineLevel="0" collapsed="false">
      <c r="A7" s="29" t="n">
        <v>2</v>
      </c>
      <c r="B7" s="29" t="s">
        <v>104</v>
      </c>
      <c r="C7" s="29" t="s">
        <v>105</v>
      </c>
    </row>
    <row r="8" customFormat="false" ht="78" hidden="false" customHeight="true" outlineLevel="0" collapsed="false">
      <c r="A8" s="29" t="n">
        <v>3</v>
      </c>
      <c r="B8" s="29" t="s">
        <v>106</v>
      </c>
      <c r="C8" s="29" t="s">
        <v>107</v>
      </c>
    </row>
    <row r="9" customFormat="false" ht="78" hidden="false" customHeight="true" outlineLevel="0" collapsed="false">
      <c r="A9" s="29" t="n">
        <v>4</v>
      </c>
      <c r="B9" s="29" t="s">
        <v>108</v>
      </c>
      <c r="C9" s="29" t="s">
        <v>109</v>
      </c>
    </row>
    <row r="10" customFormat="false" ht="78" hidden="false" customHeight="true" outlineLevel="0" collapsed="false">
      <c r="A10" s="29" t="n">
        <v>5</v>
      </c>
      <c r="B10" s="29" t="s">
        <v>110</v>
      </c>
      <c r="C10" s="29" t="s">
        <v>111</v>
      </c>
    </row>
    <row r="11" customFormat="false" ht="78" hidden="false" customHeight="true" outlineLevel="0" collapsed="false">
      <c r="A11" s="29" t="n">
        <v>6</v>
      </c>
      <c r="B11" s="29" t="s">
        <v>112</v>
      </c>
      <c r="C11" s="29" t="s">
        <v>113</v>
      </c>
    </row>
    <row r="12" customFormat="false" ht="90" hidden="false" customHeight="true" outlineLevel="0" collapsed="false">
      <c r="A12" s="29" t="n">
        <v>7</v>
      </c>
      <c r="B12" s="29" t="s">
        <v>114</v>
      </c>
      <c r="C12" s="29" t="s">
        <v>115</v>
      </c>
    </row>
    <row r="13" customFormat="false" ht="78" hidden="false" customHeight="true" outlineLevel="0" collapsed="false">
      <c r="A13" s="29" t="n">
        <v>8</v>
      </c>
      <c r="B13" s="29" t="s">
        <v>116</v>
      </c>
      <c r="C13" s="29" t="s">
        <v>117</v>
      </c>
    </row>
    <row r="14" customFormat="false" ht="90" hidden="false" customHeight="true" outlineLevel="0" collapsed="false">
      <c r="A14" s="29" t="n">
        <v>9</v>
      </c>
      <c r="B14" s="29" t="s">
        <v>118</v>
      </c>
      <c r="C14" s="29" t="s">
        <v>119</v>
      </c>
    </row>
    <row r="15" customFormat="false" ht="90" hidden="false" customHeight="true" outlineLevel="0" collapsed="false">
      <c r="A15" s="29" t="n">
        <v>10</v>
      </c>
      <c r="B15" s="29" t="s">
        <v>120</v>
      </c>
      <c r="C15" s="29" t="s">
        <v>121</v>
      </c>
    </row>
    <row r="16" customFormat="false" ht="90" hidden="false" customHeight="true" outlineLevel="0" collapsed="false">
      <c r="A16" s="29" t="n">
        <v>11</v>
      </c>
      <c r="B16" s="29" t="s">
        <v>122</v>
      </c>
      <c r="C16" s="29" t="s">
        <v>123</v>
      </c>
    </row>
    <row r="17" customFormat="false" ht="78" hidden="false" customHeight="true" outlineLevel="0" collapsed="false">
      <c r="A17" s="29" t="n">
        <v>12</v>
      </c>
      <c r="B17" s="29" t="s">
        <v>124</v>
      </c>
      <c r="C17" s="29" t="s">
        <v>125</v>
      </c>
    </row>
    <row r="18" customFormat="false" ht="22.5" hidden="false" customHeight="true" outlineLevel="0" collapsed="false"/>
    <row r="19" customFormat="false" ht="22.5" hidden="false" customHeight="true" outlineLevel="0" collapsed="false">
      <c r="C19" s="32" t="s">
        <v>126</v>
      </c>
    </row>
    <row r="20" customFormat="false" ht="22.5" hidden="false" customHeight="true" outlineLevel="0" collapsed="false"/>
    <row r="21" customFormat="false" ht="22.5" hidden="false" customHeight="true" outlineLevel="0" collapsed="false"/>
    <row r="22" customFormat="false" ht="22.5" hidden="false" customHeight="true" outlineLevel="0" collapsed="false"/>
    <row r="23" customFormat="false" ht="22.5" hidden="false" customHeight="true" outlineLevel="0" collapsed="false"/>
    <row r="24" customFormat="false" ht="22.5" hidden="false" customHeight="true" outlineLevel="0" collapsed="false"/>
    <row r="25" customFormat="false" ht="22.5" hidden="false" customHeight="true" outlineLevel="0" collapsed="false"/>
    <row r="26" customFormat="false" ht="22.5" hidden="false" customHeight="true" outlineLevel="0" collapsed="false"/>
    <row r="27" customFormat="false" ht="22.5" hidden="false" customHeight="true" outlineLevel="0" collapsed="false"/>
    <row r="28" customFormat="false" ht="22.5" hidden="false" customHeight="true" outlineLevel="0" collapsed="false"/>
    <row r="29" customFormat="false" ht="22.5" hidden="false" customHeight="true" outlineLevel="0" collapsed="false"/>
    <row r="30" customFormat="false" ht="22.5" hidden="false" customHeight="true" outlineLevel="0" collapsed="false"/>
    <row r="31" customFormat="false" ht="22.5" hidden="false" customHeight="true" outlineLevel="0" collapsed="false"/>
    <row r="32" customFormat="false" ht="22.5" hidden="false" customHeight="true" outlineLevel="0" collapsed="false"/>
    <row r="33" customFormat="false" ht="22.5" hidden="false" customHeight="true" outlineLevel="0" collapsed="false"/>
    <row r="34" customFormat="false" ht="22.5" hidden="false" customHeight="true" outlineLevel="0" collapsed="false"/>
    <row r="35" customFormat="false" ht="22.5" hidden="false" customHeight="true" outlineLevel="0" collapsed="false"/>
    <row r="36" customFormat="false" ht="22.5" hidden="false" customHeight="true" outlineLevel="0" collapsed="false"/>
    <row r="37" customFormat="false" ht="22.5" hidden="false" customHeight="true" outlineLevel="0" collapsed="false"/>
    <row r="38" customFormat="false" ht="22.5" hidden="false" customHeight="true" outlineLevel="0" collapsed="false"/>
    <row r="39" customFormat="false" ht="22.5" hidden="false" customHeight="true" outlineLevel="0" collapsed="false"/>
    <row r="40" customFormat="false" ht="22.5" hidden="false" customHeight="true" outlineLevel="0" collapsed="false"/>
    <row r="41" customFormat="false" ht="22.5" hidden="false" customHeight="true" outlineLevel="0" collapsed="false"/>
    <row r="42" customFormat="false" ht="22.5" hidden="false" customHeight="true" outlineLevel="0" collapsed="false"/>
    <row r="43" customFormat="false" ht="22.5" hidden="false" customHeight="true" outlineLevel="0" collapsed="false"/>
    <row r="44" customFormat="false" ht="22.5" hidden="false" customHeight="true" outlineLevel="0" collapsed="false"/>
    <row r="45" customFormat="false" ht="22.5" hidden="false" customHeight="true" outlineLevel="0" collapsed="false"/>
    <row r="46" customFormat="false" ht="22.5" hidden="false" customHeight="true" outlineLevel="0" collapsed="false"/>
    <row r="47" customFormat="false" ht="22.5" hidden="false" customHeight="true" outlineLevel="0" collapsed="false"/>
    <row r="48" customFormat="false" ht="22.5" hidden="false" customHeight="true" outlineLevel="0" collapsed="false"/>
    <row r="49" customFormat="false" ht="22.5" hidden="false" customHeight="true" outlineLevel="0" collapsed="false"/>
    <row r="50" customFormat="false" ht="22.5" hidden="false" customHeight="true" outlineLevel="0" collapsed="false"/>
    <row r="51" customFormat="false" ht="22.5" hidden="false" customHeight="true" outlineLevel="0" collapsed="false"/>
    <row r="52" customFormat="false" ht="22.5" hidden="false" customHeight="true" outlineLevel="0" collapsed="false"/>
    <row r="53" customFormat="false" ht="22.5" hidden="false" customHeight="true" outlineLevel="0" collapsed="false"/>
    <row r="54" customFormat="false" ht="22.5" hidden="false" customHeight="true" outlineLevel="0" collapsed="false"/>
  </sheetData>
  <mergeCells count="2">
    <mergeCell ref="A1:C2"/>
    <mergeCell ref="A3:C3"/>
  </mergeCells>
  <hyperlinks>
    <hyperlink ref="C19" r:id="rId1" display="Dokumentert referanseimplementasjon: fluids / fittings.py"/>
  </hyperlinks>
  <printOptions headings="false" gridLines="false" gridLinesSet="true" horizontalCentered="false" verticalCentered="false"/>
  <pageMargins left="0.25" right="0.25" top="0.35" bottom="0.35" header="0.511811023622047" footer="0.15"/>
  <pageSetup paperSize="8" scale="100" fitToWidth="1" fitToHeight="0" pageOrder="downThenOver" orientation="landscape" blackAndWhite="false" draft="false" cellComments="none" horizontalDpi="300" verticalDpi="300" copies="1"/>
  <headerFooter differentFirst="false" differentOddEven="false">
    <oddHeader/>
    <oddFooter>&amp;C&amp;8 R-rdimensjonering | &amp;A | side &amp;P av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C"/>
    <pageSetUpPr fitToPage="true"/>
  </sheetPr>
  <dimension ref="A1:E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5"/>
    <col collapsed="false" customWidth="true" hidden="false" outlineLevel="0" max="2" min="2" style="0" width="28"/>
    <col collapsed="false" customWidth="true" hidden="false" outlineLevel="0" max="3" min="3" style="0" width="22"/>
    <col collapsed="false" customWidth="true" hidden="false" outlineLevel="0" max="4" min="4" style="0" width="18"/>
    <col collapsed="false" customWidth="true" hidden="false" outlineLevel="0" max="5" min="5" style="0" width="65"/>
  </cols>
  <sheetData>
    <row r="1" customFormat="false" ht="22.5" hidden="false" customHeight="true" outlineLevel="0" collapsed="false">
      <c r="A1" s="1" t="s">
        <v>127</v>
      </c>
      <c r="B1" s="1"/>
      <c r="C1" s="1"/>
      <c r="D1" s="1"/>
      <c r="E1" s="1"/>
    </row>
    <row r="2" customFormat="false" ht="22.5" hidden="false" customHeight="true" outlineLevel="0" collapsed="false">
      <c r="A2" s="1"/>
      <c r="B2" s="1"/>
      <c r="C2" s="1"/>
      <c r="D2" s="1"/>
      <c r="E2" s="1"/>
    </row>
    <row r="3" customFormat="false" ht="22.5" hidden="false" customHeight="true" outlineLevel="0" collapsed="false">
      <c r="A3" s="2" t="s">
        <v>128</v>
      </c>
      <c r="B3" s="2"/>
      <c r="C3" s="2"/>
      <c r="D3" s="2"/>
      <c r="E3" s="2"/>
    </row>
    <row r="4" customFormat="false" ht="22.5" hidden="false" customHeight="true" outlineLevel="0" collapsed="false"/>
    <row r="5" customFormat="false" ht="22.5" hidden="false" customHeight="true" outlineLevel="0" collapsed="false"/>
    <row r="6" customFormat="false" ht="22.5" hidden="false" customHeight="true" outlineLevel="0" collapsed="false">
      <c r="A6" s="29" t="s">
        <v>129</v>
      </c>
      <c r="B6" s="29" t="s">
        <v>130</v>
      </c>
      <c r="C6" s="29" t="s">
        <v>131</v>
      </c>
      <c r="D6" s="29" t="s">
        <v>132</v>
      </c>
      <c r="E6" s="29" t="s">
        <v>133</v>
      </c>
    </row>
    <row r="7" customFormat="false" ht="30" hidden="false" customHeight="true" outlineLevel="0" collapsed="false">
      <c r="A7" s="29" t="s">
        <v>134</v>
      </c>
      <c r="B7" s="29" t="s">
        <v>5</v>
      </c>
      <c r="C7" s="29" t="s">
        <v>135</v>
      </c>
      <c r="D7" s="33" t="n">
        <v>21.3</v>
      </c>
      <c r="E7" s="29" t="s">
        <v>136</v>
      </c>
    </row>
    <row r="8" customFormat="false" ht="30" hidden="false" customHeight="true" outlineLevel="0" collapsed="false">
      <c r="A8" s="29" t="s">
        <v>137</v>
      </c>
      <c r="B8" s="29" t="s">
        <v>5</v>
      </c>
      <c r="C8" s="29" t="s">
        <v>138</v>
      </c>
      <c r="D8" s="33" t="n">
        <v>26.9</v>
      </c>
      <c r="E8" s="29" t="s">
        <v>136</v>
      </c>
    </row>
    <row r="9" customFormat="false" ht="30" hidden="false" customHeight="true" outlineLevel="0" collapsed="false">
      <c r="A9" s="29" t="s">
        <v>139</v>
      </c>
      <c r="B9" s="29" t="s">
        <v>5</v>
      </c>
      <c r="C9" s="29" t="s">
        <v>140</v>
      </c>
      <c r="D9" s="33" t="n">
        <v>33.7</v>
      </c>
      <c r="E9" s="29" t="s">
        <v>136</v>
      </c>
    </row>
    <row r="10" customFormat="false" ht="30" hidden="false" customHeight="true" outlineLevel="0" collapsed="false">
      <c r="A10" s="29" t="s">
        <v>141</v>
      </c>
      <c r="B10" s="29" t="s">
        <v>5</v>
      </c>
      <c r="C10" s="29" t="s">
        <v>142</v>
      </c>
      <c r="D10" s="33" t="n">
        <v>42.4</v>
      </c>
      <c r="E10" s="29" t="s">
        <v>136</v>
      </c>
    </row>
    <row r="11" customFormat="false" ht="30" hidden="false" customHeight="true" outlineLevel="0" collapsed="false">
      <c r="A11" s="29" t="s">
        <v>143</v>
      </c>
      <c r="B11" s="29" t="s">
        <v>5</v>
      </c>
      <c r="C11" s="29" t="s">
        <v>144</v>
      </c>
      <c r="D11" s="33" t="n">
        <v>48.3</v>
      </c>
      <c r="E11" s="29" t="s">
        <v>136</v>
      </c>
    </row>
    <row r="12" customFormat="false" ht="30" hidden="false" customHeight="true" outlineLevel="0" collapsed="false">
      <c r="A12" s="29" t="s">
        <v>145</v>
      </c>
      <c r="B12" s="29" t="s">
        <v>5</v>
      </c>
      <c r="C12" s="29" t="s">
        <v>146</v>
      </c>
      <c r="D12" s="33" t="n">
        <v>60.3</v>
      </c>
      <c r="E12" s="29" t="s">
        <v>136</v>
      </c>
    </row>
    <row r="13" customFormat="false" ht="30" hidden="false" customHeight="true" outlineLevel="0" collapsed="false">
      <c r="A13" s="29" t="s">
        <v>147</v>
      </c>
      <c r="B13" s="29" t="s">
        <v>5</v>
      </c>
      <c r="C13" s="29" t="s">
        <v>148</v>
      </c>
      <c r="D13" s="33" t="n">
        <v>76.1</v>
      </c>
      <c r="E13" s="29" t="s">
        <v>136</v>
      </c>
    </row>
    <row r="14" customFormat="false" ht="30" hidden="false" customHeight="true" outlineLevel="0" collapsed="false">
      <c r="A14" s="29" t="s">
        <v>149</v>
      </c>
      <c r="B14" s="29" t="s">
        <v>5</v>
      </c>
      <c r="C14" s="29" t="s">
        <v>8</v>
      </c>
      <c r="D14" s="33" t="n">
        <v>88.9</v>
      </c>
      <c r="E14" s="29" t="s">
        <v>136</v>
      </c>
    </row>
    <row r="15" customFormat="false" ht="30" hidden="false" customHeight="true" outlineLevel="0" collapsed="false">
      <c r="A15" s="29" t="s">
        <v>150</v>
      </c>
      <c r="B15" s="29" t="s">
        <v>5</v>
      </c>
      <c r="C15" s="29" t="s">
        <v>151</v>
      </c>
      <c r="D15" s="33" t="n">
        <v>114.3</v>
      </c>
      <c r="E15" s="29" t="s">
        <v>136</v>
      </c>
    </row>
    <row r="16" customFormat="false" ht="30" hidden="false" customHeight="true" outlineLevel="0" collapsed="false">
      <c r="A16" s="29" t="s">
        <v>152</v>
      </c>
      <c r="B16" s="29" t="s">
        <v>5</v>
      </c>
      <c r="C16" s="29" t="s">
        <v>153</v>
      </c>
      <c r="D16" s="33" t="n">
        <v>139.7</v>
      </c>
      <c r="E16" s="29" t="s">
        <v>136</v>
      </c>
    </row>
    <row r="17" customFormat="false" ht="30" hidden="false" customHeight="true" outlineLevel="0" collapsed="false">
      <c r="A17" s="29" t="s">
        <v>154</v>
      </c>
      <c r="B17" s="29" t="s">
        <v>5</v>
      </c>
      <c r="C17" s="29" t="s">
        <v>155</v>
      </c>
      <c r="D17" s="33" t="n">
        <v>168.3</v>
      </c>
      <c r="E17" s="29" t="s">
        <v>136</v>
      </c>
    </row>
    <row r="18" customFormat="false" ht="30" hidden="false" customHeight="true" outlineLevel="0" collapsed="false">
      <c r="A18" s="29" t="s">
        <v>156</v>
      </c>
      <c r="B18" s="29" t="s">
        <v>5</v>
      </c>
      <c r="C18" s="29" t="s">
        <v>157</v>
      </c>
      <c r="D18" s="33" t="n">
        <v>219.1</v>
      </c>
      <c r="E18" s="29" t="s">
        <v>136</v>
      </c>
    </row>
    <row r="19" customFormat="false" ht="30" hidden="false" customHeight="true" outlineLevel="0" collapsed="false">
      <c r="A19" s="29" t="s">
        <v>158</v>
      </c>
      <c r="B19" s="29" t="s">
        <v>5</v>
      </c>
      <c r="C19" s="29" t="s">
        <v>159</v>
      </c>
      <c r="D19" s="33" t="n">
        <v>273</v>
      </c>
      <c r="E19" s="29" t="s">
        <v>136</v>
      </c>
    </row>
    <row r="20" customFormat="false" ht="30" hidden="false" customHeight="true" outlineLevel="0" collapsed="false">
      <c r="A20" s="29" t="s">
        <v>160</v>
      </c>
      <c r="B20" s="29" t="s">
        <v>5</v>
      </c>
      <c r="C20" s="29" t="s">
        <v>161</v>
      </c>
      <c r="D20" s="33" t="n">
        <v>323.9</v>
      </c>
      <c r="E20" s="29" t="s">
        <v>136</v>
      </c>
    </row>
    <row r="21" customFormat="false" ht="30" hidden="false" customHeight="true" outlineLevel="0" collapsed="false">
      <c r="A21" s="29" t="s">
        <v>162</v>
      </c>
      <c r="B21" s="29" t="s">
        <v>163</v>
      </c>
      <c r="C21" s="29" t="s">
        <v>135</v>
      </c>
      <c r="D21" s="33" t="n">
        <v>21.3</v>
      </c>
      <c r="E21" s="29" t="s">
        <v>136</v>
      </c>
    </row>
    <row r="22" customFormat="false" ht="30" hidden="false" customHeight="true" outlineLevel="0" collapsed="false">
      <c r="A22" s="29" t="s">
        <v>164</v>
      </c>
      <c r="B22" s="29" t="s">
        <v>163</v>
      </c>
      <c r="C22" s="29" t="s">
        <v>138</v>
      </c>
      <c r="D22" s="33" t="n">
        <v>26.9</v>
      </c>
      <c r="E22" s="29" t="s">
        <v>136</v>
      </c>
    </row>
    <row r="23" customFormat="false" ht="30" hidden="false" customHeight="true" outlineLevel="0" collapsed="false">
      <c r="A23" s="29" t="s">
        <v>165</v>
      </c>
      <c r="B23" s="29" t="s">
        <v>163</v>
      </c>
      <c r="C23" s="29" t="s">
        <v>140</v>
      </c>
      <c r="D23" s="33" t="n">
        <v>33.7</v>
      </c>
      <c r="E23" s="29" t="s">
        <v>136</v>
      </c>
    </row>
    <row r="24" customFormat="false" ht="30" hidden="false" customHeight="true" outlineLevel="0" collapsed="false">
      <c r="A24" s="29" t="s">
        <v>166</v>
      </c>
      <c r="B24" s="29" t="s">
        <v>163</v>
      </c>
      <c r="C24" s="29" t="s">
        <v>142</v>
      </c>
      <c r="D24" s="33" t="n">
        <v>42.4</v>
      </c>
      <c r="E24" s="29" t="s">
        <v>136</v>
      </c>
    </row>
    <row r="25" customFormat="false" ht="30" hidden="false" customHeight="true" outlineLevel="0" collapsed="false">
      <c r="A25" s="29" t="s">
        <v>167</v>
      </c>
      <c r="B25" s="29" t="s">
        <v>163</v>
      </c>
      <c r="C25" s="29" t="s">
        <v>144</v>
      </c>
      <c r="D25" s="33" t="n">
        <v>48.3</v>
      </c>
      <c r="E25" s="29" t="s">
        <v>136</v>
      </c>
    </row>
    <row r="26" customFormat="false" ht="30" hidden="false" customHeight="true" outlineLevel="0" collapsed="false">
      <c r="A26" s="29" t="s">
        <v>168</v>
      </c>
      <c r="B26" s="29" t="s">
        <v>163</v>
      </c>
      <c r="C26" s="29" t="s">
        <v>146</v>
      </c>
      <c r="D26" s="33" t="n">
        <v>60.3</v>
      </c>
      <c r="E26" s="29" t="s">
        <v>136</v>
      </c>
    </row>
    <row r="27" customFormat="false" ht="30" hidden="false" customHeight="true" outlineLevel="0" collapsed="false">
      <c r="A27" s="29" t="s">
        <v>169</v>
      </c>
      <c r="B27" s="29" t="s">
        <v>163</v>
      </c>
      <c r="C27" s="29" t="s">
        <v>148</v>
      </c>
      <c r="D27" s="33" t="n">
        <v>76.1</v>
      </c>
      <c r="E27" s="29" t="s">
        <v>136</v>
      </c>
    </row>
    <row r="28" customFormat="false" ht="30" hidden="false" customHeight="true" outlineLevel="0" collapsed="false">
      <c r="A28" s="29" t="s">
        <v>170</v>
      </c>
      <c r="B28" s="29" t="s">
        <v>163</v>
      </c>
      <c r="C28" s="29" t="s">
        <v>8</v>
      </c>
      <c r="D28" s="33" t="n">
        <v>88.9</v>
      </c>
      <c r="E28" s="29" t="s">
        <v>136</v>
      </c>
    </row>
    <row r="29" customFormat="false" ht="30" hidden="false" customHeight="true" outlineLevel="0" collapsed="false">
      <c r="A29" s="29" t="s">
        <v>171</v>
      </c>
      <c r="B29" s="29" t="s">
        <v>163</v>
      </c>
      <c r="C29" s="29" t="s">
        <v>151</v>
      </c>
      <c r="D29" s="33" t="n">
        <v>114.3</v>
      </c>
      <c r="E29" s="29" t="s">
        <v>136</v>
      </c>
    </row>
    <row r="30" customFormat="false" ht="30" hidden="false" customHeight="true" outlineLevel="0" collapsed="false">
      <c r="A30" s="29" t="s">
        <v>172</v>
      </c>
      <c r="B30" s="29" t="s">
        <v>163</v>
      </c>
      <c r="C30" s="29" t="s">
        <v>153</v>
      </c>
      <c r="D30" s="33" t="n">
        <v>139.7</v>
      </c>
      <c r="E30" s="29" t="s">
        <v>136</v>
      </c>
    </row>
    <row r="31" customFormat="false" ht="30" hidden="false" customHeight="true" outlineLevel="0" collapsed="false">
      <c r="A31" s="29" t="s">
        <v>173</v>
      </c>
      <c r="B31" s="29" t="s">
        <v>163</v>
      </c>
      <c r="C31" s="29" t="s">
        <v>155</v>
      </c>
      <c r="D31" s="33" t="n">
        <v>168.3</v>
      </c>
      <c r="E31" s="29" t="s">
        <v>136</v>
      </c>
    </row>
    <row r="32" customFormat="false" ht="30" hidden="false" customHeight="true" outlineLevel="0" collapsed="false">
      <c r="A32" s="29" t="s">
        <v>174</v>
      </c>
      <c r="B32" s="29" t="s">
        <v>163</v>
      </c>
      <c r="C32" s="29" t="s">
        <v>157</v>
      </c>
      <c r="D32" s="33" t="n">
        <v>219.1</v>
      </c>
      <c r="E32" s="29" t="s">
        <v>136</v>
      </c>
    </row>
    <row r="33" customFormat="false" ht="30" hidden="false" customHeight="true" outlineLevel="0" collapsed="false">
      <c r="A33" s="29" t="s">
        <v>175</v>
      </c>
      <c r="B33" s="29" t="s">
        <v>163</v>
      </c>
      <c r="C33" s="29" t="s">
        <v>159</v>
      </c>
      <c r="D33" s="33" t="n">
        <v>273</v>
      </c>
      <c r="E33" s="29" t="s">
        <v>136</v>
      </c>
    </row>
    <row r="34" customFormat="false" ht="30" hidden="false" customHeight="true" outlineLevel="0" collapsed="false">
      <c r="A34" s="29" t="s">
        <v>176</v>
      </c>
      <c r="B34" s="29" t="s">
        <v>163</v>
      </c>
      <c r="C34" s="29" t="s">
        <v>161</v>
      </c>
      <c r="D34" s="33" t="n">
        <v>323.9</v>
      </c>
      <c r="E34" s="29" t="s">
        <v>136</v>
      </c>
    </row>
    <row r="35" customFormat="false" ht="30" hidden="false" customHeight="true" outlineLevel="0" collapsed="false">
      <c r="A35" s="29" t="s">
        <v>177</v>
      </c>
      <c r="B35" s="29" t="s">
        <v>178</v>
      </c>
      <c r="C35" s="29" t="s">
        <v>179</v>
      </c>
      <c r="D35" s="33" t="n">
        <v>20</v>
      </c>
      <c r="E35" s="29" t="s">
        <v>180</v>
      </c>
    </row>
    <row r="36" customFormat="false" ht="30" hidden="false" customHeight="true" outlineLevel="0" collapsed="false">
      <c r="A36" s="29" t="s">
        <v>181</v>
      </c>
      <c r="B36" s="29" t="s">
        <v>178</v>
      </c>
      <c r="C36" s="29" t="s">
        <v>182</v>
      </c>
      <c r="D36" s="33" t="n">
        <v>25</v>
      </c>
      <c r="E36" s="29" t="s">
        <v>180</v>
      </c>
    </row>
    <row r="37" customFormat="false" ht="30" hidden="false" customHeight="true" outlineLevel="0" collapsed="false">
      <c r="A37" s="29" t="s">
        <v>183</v>
      </c>
      <c r="B37" s="29" t="s">
        <v>178</v>
      </c>
      <c r="C37" s="29" t="s">
        <v>184</v>
      </c>
      <c r="D37" s="33" t="n">
        <v>32</v>
      </c>
      <c r="E37" s="29" t="s">
        <v>180</v>
      </c>
    </row>
    <row r="38" customFormat="false" ht="30" hidden="false" customHeight="true" outlineLevel="0" collapsed="false">
      <c r="A38" s="29" t="s">
        <v>185</v>
      </c>
      <c r="B38" s="29" t="s">
        <v>178</v>
      </c>
      <c r="C38" s="29" t="s">
        <v>186</v>
      </c>
      <c r="D38" s="33" t="n">
        <v>40</v>
      </c>
      <c r="E38" s="29" t="s">
        <v>180</v>
      </c>
    </row>
    <row r="39" customFormat="false" ht="30" hidden="false" customHeight="true" outlineLevel="0" collapsed="false">
      <c r="A39" s="29" t="s">
        <v>187</v>
      </c>
      <c r="B39" s="29" t="s">
        <v>178</v>
      </c>
      <c r="C39" s="29" t="s">
        <v>188</v>
      </c>
      <c r="D39" s="33" t="n">
        <v>50</v>
      </c>
      <c r="E39" s="29" t="s">
        <v>180</v>
      </c>
    </row>
    <row r="40" customFormat="false" ht="30" hidden="false" customHeight="true" outlineLevel="0" collapsed="false">
      <c r="A40" s="29" t="s">
        <v>189</v>
      </c>
      <c r="B40" s="29" t="s">
        <v>178</v>
      </c>
      <c r="C40" s="29" t="s">
        <v>190</v>
      </c>
      <c r="D40" s="33" t="n">
        <v>63</v>
      </c>
      <c r="E40" s="29" t="s">
        <v>180</v>
      </c>
    </row>
    <row r="41" customFormat="false" ht="30" hidden="false" customHeight="true" outlineLevel="0" collapsed="false">
      <c r="A41" s="29" t="s">
        <v>191</v>
      </c>
      <c r="B41" s="29" t="s">
        <v>178</v>
      </c>
      <c r="C41" s="29" t="s">
        <v>192</v>
      </c>
      <c r="D41" s="33" t="n">
        <v>75</v>
      </c>
      <c r="E41" s="29" t="s">
        <v>180</v>
      </c>
    </row>
    <row r="42" customFormat="false" ht="30" hidden="false" customHeight="true" outlineLevel="0" collapsed="false">
      <c r="A42" s="29" t="s">
        <v>193</v>
      </c>
      <c r="B42" s="29" t="s">
        <v>178</v>
      </c>
      <c r="C42" s="29" t="s">
        <v>194</v>
      </c>
      <c r="D42" s="33" t="n">
        <v>90</v>
      </c>
      <c r="E42" s="29" t="s">
        <v>180</v>
      </c>
    </row>
    <row r="43" customFormat="false" ht="30" hidden="false" customHeight="true" outlineLevel="0" collapsed="false">
      <c r="A43" s="29" t="s">
        <v>195</v>
      </c>
      <c r="B43" s="29" t="s">
        <v>178</v>
      </c>
      <c r="C43" s="29" t="s">
        <v>196</v>
      </c>
      <c r="D43" s="33" t="n">
        <v>110</v>
      </c>
      <c r="E43" s="29" t="s">
        <v>180</v>
      </c>
    </row>
    <row r="44" customFormat="false" ht="30" hidden="false" customHeight="true" outlineLevel="0" collapsed="false">
      <c r="A44" s="29" t="s">
        <v>197</v>
      </c>
      <c r="B44" s="29" t="s">
        <v>178</v>
      </c>
      <c r="C44" s="29" t="s">
        <v>198</v>
      </c>
      <c r="D44" s="33" t="n">
        <v>125</v>
      </c>
      <c r="E44" s="29" t="s">
        <v>180</v>
      </c>
    </row>
    <row r="45" customFormat="false" ht="30" hidden="false" customHeight="true" outlineLevel="0" collapsed="false">
      <c r="A45" s="29" t="s">
        <v>199</v>
      </c>
      <c r="B45" s="29" t="s">
        <v>178</v>
      </c>
      <c r="C45" s="29" t="s">
        <v>200</v>
      </c>
      <c r="D45" s="33" t="n">
        <v>140</v>
      </c>
      <c r="E45" s="29" t="s">
        <v>180</v>
      </c>
    </row>
    <row r="46" customFormat="false" ht="30" hidden="false" customHeight="true" outlineLevel="0" collapsed="false">
      <c r="A46" s="29" t="s">
        <v>201</v>
      </c>
      <c r="B46" s="29" t="s">
        <v>178</v>
      </c>
      <c r="C46" s="29" t="s">
        <v>202</v>
      </c>
      <c r="D46" s="33" t="n">
        <v>160</v>
      </c>
      <c r="E46" s="29" t="s">
        <v>180</v>
      </c>
    </row>
    <row r="47" customFormat="false" ht="30" hidden="false" customHeight="true" outlineLevel="0" collapsed="false">
      <c r="A47" s="29" t="s">
        <v>203</v>
      </c>
      <c r="B47" s="29" t="s">
        <v>178</v>
      </c>
      <c r="C47" s="29" t="s">
        <v>204</v>
      </c>
      <c r="D47" s="33" t="n">
        <v>180</v>
      </c>
      <c r="E47" s="29" t="s">
        <v>180</v>
      </c>
    </row>
    <row r="48" customFormat="false" ht="30" hidden="false" customHeight="true" outlineLevel="0" collapsed="false">
      <c r="A48" s="29" t="s">
        <v>205</v>
      </c>
      <c r="B48" s="29" t="s">
        <v>178</v>
      </c>
      <c r="C48" s="29" t="s">
        <v>206</v>
      </c>
      <c r="D48" s="33" t="n">
        <v>200</v>
      </c>
      <c r="E48" s="29" t="s">
        <v>180</v>
      </c>
    </row>
    <row r="49" customFormat="false" ht="30" hidden="false" customHeight="true" outlineLevel="0" collapsed="false">
      <c r="A49" s="29" t="s">
        <v>207</v>
      </c>
      <c r="B49" s="29" t="s">
        <v>178</v>
      </c>
      <c r="C49" s="29" t="s">
        <v>208</v>
      </c>
      <c r="D49" s="33" t="n">
        <v>225</v>
      </c>
      <c r="E49" s="29" t="s">
        <v>180</v>
      </c>
    </row>
    <row r="50" customFormat="false" ht="30" hidden="false" customHeight="true" outlineLevel="0" collapsed="false">
      <c r="A50" s="29" t="s">
        <v>209</v>
      </c>
      <c r="B50" s="29" t="s">
        <v>178</v>
      </c>
      <c r="C50" s="29" t="s">
        <v>210</v>
      </c>
      <c r="D50" s="33" t="n">
        <v>250</v>
      </c>
      <c r="E50" s="29" t="s">
        <v>180</v>
      </c>
    </row>
    <row r="51" customFormat="false" ht="30" hidden="false" customHeight="true" outlineLevel="0" collapsed="false">
      <c r="A51" s="29" t="s">
        <v>211</v>
      </c>
      <c r="B51" s="29" t="s">
        <v>178</v>
      </c>
      <c r="C51" s="29" t="s">
        <v>212</v>
      </c>
      <c r="D51" s="33" t="n">
        <v>280</v>
      </c>
      <c r="E51" s="29" t="s">
        <v>180</v>
      </c>
    </row>
    <row r="52" customFormat="false" ht="30" hidden="false" customHeight="true" outlineLevel="0" collapsed="false">
      <c r="A52" s="29" t="s">
        <v>213</v>
      </c>
      <c r="B52" s="29" t="s">
        <v>178</v>
      </c>
      <c r="C52" s="29" t="s">
        <v>214</v>
      </c>
      <c r="D52" s="33" t="n">
        <v>315</v>
      </c>
      <c r="E52" s="29" t="s">
        <v>180</v>
      </c>
    </row>
    <row r="53" customFormat="false" ht="22.5" hidden="false" customHeight="true" outlineLevel="0" collapsed="false"/>
    <row r="54" customFormat="false" ht="22.5" hidden="false" customHeight="true" outlineLevel="0" collapsed="false"/>
  </sheetData>
  <autoFilter ref="A6:E52"/>
  <mergeCells count="2">
    <mergeCell ref="A1:E2"/>
    <mergeCell ref="A3:E3"/>
  </mergeCells>
  <printOptions headings="false" gridLines="false" gridLinesSet="true" horizontalCentered="false" verticalCentered="false"/>
  <pageMargins left="0.25" right="0.25" top="0.35" bottom="0.35" header="0.511811023622047" footer="0.15"/>
  <pageSetup paperSize="8" scale="100" fitToWidth="1" fitToHeight="0" pageOrder="downThenOver" orientation="landscape" blackAndWhite="false" draft="false" cellComments="none" horizontalDpi="300" verticalDpi="300" copies="1"/>
  <headerFooter differentFirst="false" differentOddEven="false">
    <oddHeader/>
    <oddFooter>&amp;C&amp;8 R-rdimensjonering | &amp;A | side &amp;P av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C"/>
    <pageSetUpPr fitToPage="true"/>
  </sheetPr>
  <dimension ref="A1:E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7"/>
    <col collapsed="false" customWidth="true" hidden="false" outlineLevel="0" max="2" min="2" style="0" width="33"/>
    <col collapsed="false" customWidth="true" hidden="false" outlineLevel="0" max="3" min="3" style="0" width="20"/>
    <col collapsed="false" customWidth="true" hidden="false" outlineLevel="0" max="4" min="4" style="0" width="45"/>
    <col collapsed="false" customWidth="true" hidden="false" outlineLevel="0" max="5" min="5" style="0" width="65"/>
  </cols>
  <sheetData>
    <row r="1" customFormat="false" ht="22.5" hidden="false" customHeight="true" outlineLevel="0" collapsed="false">
      <c r="A1" s="1" t="s">
        <v>215</v>
      </c>
      <c r="B1" s="1"/>
      <c r="C1" s="1"/>
      <c r="D1" s="1"/>
      <c r="E1" s="1"/>
    </row>
    <row r="2" customFormat="false" ht="22.5" hidden="false" customHeight="true" outlineLevel="0" collapsed="false">
      <c r="A2" s="1"/>
      <c r="B2" s="1"/>
      <c r="C2" s="1"/>
      <c r="D2" s="1"/>
      <c r="E2" s="1"/>
    </row>
    <row r="3" customFormat="false" ht="22.5" hidden="false" customHeight="true" outlineLevel="0" collapsed="false">
      <c r="A3" s="2" t="s">
        <v>216</v>
      </c>
      <c r="B3" s="2"/>
      <c r="C3" s="2"/>
      <c r="D3" s="2"/>
      <c r="E3" s="2"/>
    </row>
    <row r="4" customFormat="false" ht="22.5" hidden="false" customHeight="true" outlineLevel="0" collapsed="false"/>
    <row r="5" customFormat="false" ht="22.5" hidden="false" customHeight="true" outlineLevel="0" collapsed="false"/>
    <row r="6" customFormat="false" ht="22.5" hidden="false" customHeight="true" outlineLevel="0" collapsed="false">
      <c r="A6" s="29" t="s">
        <v>217</v>
      </c>
      <c r="B6" s="29" t="s">
        <v>218</v>
      </c>
      <c r="C6" s="29" t="s">
        <v>219</v>
      </c>
      <c r="D6" s="29" t="s">
        <v>220</v>
      </c>
      <c r="E6" s="29" t="s">
        <v>221</v>
      </c>
    </row>
    <row r="7" customFormat="false" ht="45" hidden="false" customHeight="true" outlineLevel="0" collapsed="false">
      <c r="A7" s="29" t="s">
        <v>18</v>
      </c>
      <c r="B7" s="29" t="s">
        <v>222</v>
      </c>
      <c r="C7" s="14" t="n">
        <v>0.045</v>
      </c>
      <c r="D7" s="29" t="s">
        <v>223</v>
      </c>
      <c r="E7" s="29" t="s">
        <v>224</v>
      </c>
    </row>
    <row r="8" customFormat="false" ht="45" hidden="false" customHeight="true" outlineLevel="0" collapsed="false">
      <c r="A8" s="29" t="s">
        <v>225</v>
      </c>
      <c r="B8" s="29" t="s">
        <v>226</v>
      </c>
      <c r="C8" s="14" t="n">
        <v>0.045</v>
      </c>
      <c r="D8" s="29" t="s">
        <v>223</v>
      </c>
      <c r="E8" s="29" t="s">
        <v>224</v>
      </c>
    </row>
    <row r="9" customFormat="false" ht="45" hidden="false" customHeight="true" outlineLevel="0" collapsed="false">
      <c r="A9" s="29" t="s">
        <v>227</v>
      </c>
      <c r="B9" s="29" t="s">
        <v>228</v>
      </c>
      <c r="C9" s="14" t="n">
        <v>0.045</v>
      </c>
      <c r="D9" s="29" t="s">
        <v>229</v>
      </c>
      <c r="E9" s="29" t="s">
        <v>230</v>
      </c>
    </row>
    <row r="10" customFormat="false" ht="45" hidden="false" customHeight="true" outlineLevel="0" collapsed="false">
      <c r="A10" s="29" t="s">
        <v>231</v>
      </c>
      <c r="B10" s="29" t="s">
        <v>232</v>
      </c>
      <c r="C10" s="14" t="n">
        <v>0.015</v>
      </c>
      <c r="D10" s="29" t="s">
        <v>233</v>
      </c>
      <c r="E10" s="29" t="s">
        <v>234</v>
      </c>
    </row>
    <row r="11" customFormat="false" ht="45" hidden="false" customHeight="true" outlineLevel="0" collapsed="false">
      <c r="A11" s="29" t="s">
        <v>235</v>
      </c>
      <c r="B11" s="29" t="s">
        <v>236</v>
      </c>
      <c r="C11" s="14" t="n">
        <v>0.015</v>
      </c>
      <c r="D11" s="29" t="s">
        <v>233</v>
      </c>
      <c r="E11" s="29" t="s">
        <v>234</v>
      </c>
    </row>
    <row r="12" customFormat="false" ht="45" hidden="false" customHeight="true" outlineLevel="0" collapsed="false">
      <c r="A12" s="29" t="s">
        <v>237</v>
      </c>
      <c r="B12" s="29" t="s">
        <v>238</v>
      </c>
      <c r="C12" s="14" t="n">
        <v>0.015</v>
      </c>
      <c r="D12" s="29" t="s">
        <v>233</v>
      </c>
      <c r="E12" s="29" t="s">
        <v>239</v>
      </c>
    </row>
    <row r="13" customFormat="false" ht="22.5" hidden="false" customHeight="true" outlineLevel="0" collapsed="false"/>
    <row r="14" customFormat="false" ht="22.5" hidden="false" customHeight="true" outlineLevel="0" collapsed="false"/>
    <row r="15" customFormat="false" ht="22.5" hidden="false" customHeight="true" outlineLevel="0" collapsed="false">
      <c r="A15" s="34" t="s">
        <v>240</v>
      </c>
      <c r="B15" s="34"/>
      <c r="C15" s="34"/>
      <c r="D15" s="34"/>
      <c r="E15" s="34"/>
    </row>
    <row r="16" customFormat="false" ht="22.5" hidden="false" customHeight="true" outlineLevel="0" collapsed="false">
      <c r="A16" s="34"/>
      <c r="B16" s="34"/>
      <c r="C16" s="34"/>
      <c r="D16" s="34"/>
      <c r="E16" s="34"/>
    </row>
    <row r="17" customFormat="false" ht="22.5" hidden="false" customHeight="true" outlineLevel="0" collapsed="false"/>
    <row r="18" customFormat="false" ht="22.5" hidden="false" customHeight="true" outlineLevel="0" collapsed="false">
      <c r="A18" s="35" t="s">
        <v>241</v>
      </c>
      <c r="B18" s="35"/>
      <c r="C18" s="35"/>
      <c r="D18" s="35"/>
      <c r="E18" s="35"/>
    </row>
    <row r="19" customFormat="false" ht="22.5" hidden="false" customHeight="true" outlineLevel="0" collapsed="false">
      <c r="A19" s="35"/>
      <c r="B19" s="35"/>
      <c r="C19" s="35"/>
      <c r="D19" s="35"/>
      <c r="E19" s="35"/>
    </row>
    <row r="20" customFormat="false" ht="22.5" hidden="false" customHeight="true" outlineLevel="0" collapsed="false"/>
    <row r="21" customFormat="false" ht="22.5" hidden="false" customHeight="true" outlineLevel="0" collapsed="false"/>
    <row r="22" customFormat="false" ht="22.5" hidden="false" customHeight="true" outlineLevel="0" collapsed="false"/>
    <row r="23" customFormat="false" ht="22.5" hidden="false" customHeight="true" outlineLevel="0" collapsed="false"/>
    <row r="24" customFormat="false" ht="22.5" hidden="false" customHeight="true" outlineLevel="0" collapsed="false"/>
    <row r="25" customFormat="false" ht="22.5" hidden="false" customHeight="true" outlineLevel="0" collapsed="false"/>
    <row r="26" customFormat="false" ht="22.5" hidden="false" customHeight="true" outlineLevel="0" collapsed="false"/>
    <row r="27" customFormat="false" ht="22.5" hidden="false" customHeight="true" outlineLevel="0" collapsed="false"/>
    <row r="28" customFormat="false" ht="22.5" hidden="false" customHeight="true" outlineLevel="0" collapsed="false"/>
    <row r="29" customFormat="false" ht="22.5" hidden="false" customHeight="true" outlineLevel="0" collapsed="false"/>
    <row r="30" customFormat="false" ht="22.5" hidden="false" customHeight="true" outlineLevel="0" collapsed="false"/>
    <row r="31" customFormat="false" ht="22.5" hidden="false" customHeight="true" outlineLevel="0" collapsed="false"/>
    <row r="32" customFormat="false" ht="22.5" hidden="false" customHeight="true" outlineLevel="0" collapsed="false"/>
    <row r="33" customFormat="false" ht="22.5" hidden="false" customHeight="true" outlineLevel="0" collapsed="false"/>
    <row r="34" customFormat="false" ht="22.5" hidden="false" customHeight="true" outlineLevel="0" collapsed="false"/>
    <row r="35" customFormat="false" ht="22.5" hidden="false" customHeight="true" outlineLevel="0" collapsed="false"/>
    <row r="36" customFormat="false" ht="22.5" hidden="false" customHeight="true" outlineLevel="0" collapsed="false"/>
    <row r="37" customFormat="false" ht="22.5" hidden="false" customHeight="true" outlineLevel="0" collapsed="false"/>
    <row r="38" customFormat="false" ht="22.5" hidden="false" customHeight="true" outlineLevel="0" collapsed="false"/>
    <row r="39" customFormat="false" ht="22.5" hidden="false" customHeight="true" outlineLevel="0" collapsed="false"/>
    <row r="40" customFormat="false" ht="22.5" hidden="false" customHeight="true" outlineLevel="0" collapsed="false"/>
    <row r="41" customFormat="false" ht="22.5" hidden="false" customHeight="true" outlineLevel="0" collapsed="false"/>
    <row r="42" customFormat="false" ht="22.5" hidden="false" customHeight="true" outlineLevel="0" collapsed="false"/>
    <row r="43" customFormat="false" ht="22.5" hidden="false" customHeight="true" outlineLevel="0" collapsed="false"/>
    <row r="44" customFormat="false" ht="22.5" hidden="false" customHeight="true" outlineLevel="0" collapsed="false"/>
    <row r="45" customFormat="false" ht="22.5" hidden="false" customHeight="true" outlineLevel="0" collapsed="false"/>
    <row r="46" customFormat="false" ht="22.5" hidden="false" customHeight="true" outlineLevel="0" collapsed="false"/>
    <row r="47" customFormat="false" ht="22.5" hidden="false" customHeight="true" outlineLevel="0" collapsed="false"/>
    <row r="48" customFormat="false" ht="22.5" hidden="false" customHeight="true" outlineLevel="0" collapsed="false"/>
    <row r="49" customFormat="false" ht="22.5" hidden="false" customHeight="true" outlineLevel="0" collapsed="false"/>
    <row r="50" customFormat="false" ht="22.5" hidden="false" customHeight="true" outlineLevel="0" collapsed="false"/>
    <row r="51" customFormat="false" ht="22.5" hidden="false" customHeight="true" outlineLevel="0" collapsed="false"/>
    <row r="52" customFormat="false" ht="22.5" hidden="false" customHeight="true" outlineLevel="0" collapsed="false"/>
    <row r="53" customFormat="false" ht="22.5" hidden="false" customHeight="true" outlineLevel="0" collapsed="false"/>
    <row r="54" customFormat="false" ht="22.5" hidden="false" customHeight="true" outlineLevel="0" collapsed="false"/>
  </sheetData>
  <mergeCells count="4">
    <mergeCell ref="A1:E2"/>
    <mergeCell ref="A3:E3"/>
    <mergeCell ref="A15:E16"/>
    <mergeCell ref="A18:E19"/>
  </mergeCells>
  <printOptions headings="false" gridLines="false" gridLinesSet="true" horizontalCentered="false" verticalCentered="false"/>
  <pageMargins left="0.25" right="0.25" top="0.35" bottom="0.35" header="0.511811023622047" footer="0.15"/>
  <pageSetup paperSize="8" scale="100" fitToWidth="1" fitToHeight="1" pageOrder="downThenOver" orientation="landscape" blackAndWhite="false" draft="false" cellComments="none" horizontalDpi="300" verticalDpi="300" copies="1"/>
  <headerFooter differentFirst="false" differentOddEven="false">
    <oddHeader/>
    <oddFooter>&amp;C&amp;8 R-rdimensjonering | &amp;A | side &amp;P av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C"/>
    <pageSetUpPr fitToPage="true"/>
  </sheetPr>
  <dimension ref="A1:D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26"/>
    <col collapsed="false" customWidth="true" hidden="false" outlineLevel="0" max="4" min="4" style="0" width="90"/>
  </cols>
  <sheetData>
    <row r="1" customFormat="false" ht="22.5" hidden="false" customHeight="true" outlineLevel="0" collapsed="false">
      <c r="A1" s="1" t="s">
        <v>242</v>
      </c>
      <c r="B1" s="1"/>
      <c r="C1" s="1"/>
      <c r="D1" s="1"/>
    </row>
    <row r="2" customFormat="false" ht="22.5" hidden="false" customHeight="true" outlineLevel="0" collapsed="false">
      <c r="A2" s="1"/>
      <c r="B2" s="1"/>
      <c r="C2" s="1"/>
      <c r="D2" s="1"/>
    </row>
    <row r="3" customFormat="false" ht="22.5" hidden="false" customHeight="true" outlineLevel="0" collapsed="false">
      <c r="A3" s="2" t="s">
        <v>243</v>
      </c>
      <c r="B3" s="2"/>
      <c r="C3" s="2"/>
      <c r="D3" s="2"/>
    </row>
    <row r="4" customFormat="false" ht="22.5" hidden="false" customHeight="true" outlineLevel="0" collapsed="false"/>
    <row r="5" customFormat="false" ht="22.5" hidden="false" customHeight="true" outlineLevel="0" collapsed="false"/>
    <row r="6" customFormat="false" ht="22.5" hidden="false" customHeight="true" outlineLevel="0" collapsed="false">
      <c r="A6" s="29" t="s">
        <v>244</v>
      </c>
      <c r="B6" s="29" t="s">
        <v>245</v>
      </c>
      <c r="C6" s="29" t="s">
        <v>246</v>
      </c>
      <c r="D6" s="29" t="s">
        <v>247</v>
      </c>
    </row>
    <row r="7" customFormat="false" ht="33.75" hidden="false" customHeight="true" outlineLevel="0" collapsed="false">
      <c r="A7" s="29" t="s">
        <v>248</v>
      </c>
      <c r="B7" s="14" t="n">
        <v>999.97</v>
      </c>
      <c r="C7" s="14" t="n">
        <v>1.519</v>
      </c>
      <c r="D7" s="29" t="s">
        <v>249</v>
      </c>
    </row>
    <row r="8" customFormat="false" ht="33.75" hidden="false" customHeight="true" outlineLevel="0" collapsed="false">
      <c r="A8" s="29" t="s">
        <v>36</v>
      </c>
      <c r="B8" s="14" t="n">
        <v>998.2</v>
      </c>
      <c r="C8" s="14" t="n">
        <v>1.002</v>
      </c>
      <c r="D8" s="29" t="s">
        <v>249</v>
      </c>
    </row>
    <row r="9" customFormat="false" ht="33.75" hidden="false" customHeight="true" outlineLevel="0" collapsed="false">
      <c r="A9" s="29" t="s">
        <v>250</v>
      </c>
      <c r="B9" s="14" t="n">
        <v>992.2</v>
      </c>
      <c r="C9" s="14" t="n">
        <v>0.653</v>
      </c>
      <c r="D9" s="29" t="s">
        <v>249</v>
      </c>
    </row>
    <row r="10" customFormat="false" ht="33.75" hidden="false" customHeight="true" outlineLevel="0" collapsed="false">
      <c r="A10" s="29" t="s">
        <v>251</v>
      </c>
      <c r="B10" s="14" t="n">
        <v>983.2</v>
      </c>
      <c r="C10" s="14" t="n">
        <v>0.466</v>
      </c>
      <c r="D10" s="29" t="s">
        <v>249</v>
      </c>
    </row>
    <row r="11" customFormat="false" ht="33.75" hidden="false" customHeight="true" outlineLevel="0" collapsed="false">
      <c r="A11" s="29" t="s">
        <v>252</v>
      </c>
      <c r="B11" s="14" t="n">
        <v>971.8</v>
      </c>
      <c r="C11" s="14" t="n">
        <v>0.354</v>
      </c>
      <c r="D11" s="29" t="s">
        <v>249</v>
      </c>
    </row>
    <row r="12" customFormat="false" ht="33.75" hidden="false" customHeight="true" outlineLevel="0" collapsed="false">
      <c r="A12" s="29" t="s">
        <v>253</v>
      </c>
      <c r="B12" s="14" t="n">
        <v>850</v>
      </c>
      <c r="C12" s="14" t="n">
        <v>27.2</v>
      </c>
      <c r="D12" s="29" t="s">
        <v>254</v>
      </c>
    </row>
    <row r="13" customFormat="false" ht="33.75" hidden="false" customHeight="true" outlineLevel="0" collapsed="false">
      <c r="A13" s="29" t="s">
        <v>255</v>
      </c>
      <c r="B13" s="14" t="n">
        <v>0</v>
      </c>
      <c r="C13" s="14" t="n">
        <v>0</v>
      </c>
      <c r="D13" s="29" t="s">
        <v>256</v>
      </c>
    </row>
    <row r="14" customFormat="false" ht="22.5" hidden="false" customHeight="true" outlineLevel="0" collapsed="false"/>
    <row r="15" customFormat="false" ht="22.5" hidden="false" customHeight="true" outlineLevel="0" collapsed="false"/>
    <row r="16" customFormat="false" ht="22.5" hidden="false" customHeight="true" outlineLevel="0" collapsed="false">
      <c r="A16" s="34" t="s">
        <v>257</v>
      </c>
      <c r="B16" s="34"/>
      <c r="C16" s="34"/>
      <c r="D16" s="34"/>
    </row>
    <row r="17" customFormat="false" ht="22.5" hidden="false" customHeight="true" outlineLevel="0" collapsed="false">
      <c r="A17" s="34"/>
      <c r="B17" s="34"/>
      <c r="C17" s="34"/>
      <c r="D17" s="34"/>
    </row>
    <row r="18" customFormat="false" ht="22.5" hidden="false" customHeight="true" outlineLevel="0" collapsed="false"/>
    <row r="19" customFormat="false" ht="22.5" hidden="false" customHeight="true" outlineLevel="0" collapsed="false"/>
    <row r="20" customFormat="false" ht="22.5" hidden="false" customHeight="true" outlineLevel="0" collapsed="false"/>
    <row r="21" customFormat="false" ht="22.5" hidden="false" customHeight="true" outlineLevel="0" collapsed="false"/>
    <row r="22" customFormat="false" ht="22.5" hidden="false" customHeight="true" outlineLevel="0" collapsed="false"/>
    <row r="23" customFormat="false" ht="22.5" hidden="false" customHeight="true" outlineLevel="0" collapsed="false"/>
    <row r="24" customFormat="false" ht="22.5" hidden="false" customHeight="true" outlineLevel="0" collapsed="false"/>
    <row r="25" customFormat="false" ht="22.5" hidden="false" customHeight="true" outlineLevel="0" collapsed="false"/>
    <row r="26" customFormat="false" ht="22.5" hidden="false" customHeight="true" outlineLevel="0" collapsed="false"/>
    <row r="27" customFormat="false" ht="22.5" hidden="false" customHeight="true" outlineLevel="0" collapsed="false"/>
    <row r="28" customFormat="false" ht="22.5" hidden="false" customHeight="true" outlineLevel="0" collapsed="false"/>
    <row r="29" customFormat="false" ht="22.5" hidden="false" customHeight="true" outlineLevel="0" collapsed="false"/>
    <row r="30" customFormat="false" ht="22.5" hidden="false" customHeight="true" outlineLevel="0" collapsed="false"/>
    <row r="31" customFormat="false" ht="22.5" hidden="false" customHeight="true" outlineLevel="0" collapsed="false"/>
    <row r="32" customFormat="false" ht="22.5" hidden="false" customHeight="true" outlineLevel="0" collapsed="false"/>
    <row r="33" customFormat="false" ht="22.5" hidden="false" customHeight="true" outlineLevel="0" collapsed="false"/>
    <row r="34" customFormat="false" ht="22.5" hidden="false" customHeight="true" outlineLevel="0" collapsed="false"/>
    <row r="35" customFormat="false" ht="22.5" hidden="false" customHeight="true" outlineLevel="0" collapsed="false"/>
    <row r="36" customFormat="false" ht="22.5" hidden="false" customHeight="true" outlineLevel="0" collapsed="false"/>
    <row r="37" customFormat="false" ht="22.5" hidden="false" customHeight="true" outlineLevel="0" collapsed="false"/>
    <row r="38" customFormat="false" ht="22.5" hidden="false" customHeight="true" outlineLevel="0" collapsed="false"/>
    <row r="39" customFormat="false" ht="22.5" hidden="false" customHeight="true" outlineLevel="0" collapsed="false"/>
    <row r="40" customFormat="false" ht="22.5" hidden="false" customHeight="true" outlineLevel="0" collapsed="false"/>
    <row r="41" customFormat="false" ht="22.5" hidden="false" customHeight="true" outlineLevel="0" collapsed="false"/>
    <row r="42" customFormat="false" ht="22.5" hidden="false" customHeight="true" outlineLevel="0" collapsed="false"/>
    <row r="43" customFormat="false" ht="22.5" hidden="false" customHeight="true" outlineLevel="0" collapsed="false"/>
    <row r="44" customFormat="false" ht="22.5" hidden="false" customHeight="true" outlineLevel="0" collapsed="false"/>
    <row r="45" customFormat="false" ht="22.5" hidden="false" customHeight="true" outlineLevel="0" collapsed="false"/>
    <row r="46" customFormat="false" ht="22.5" hidden="false" customHeight="true" outlineLevel="0" collapsed="false"/>
    <row r="47" customFormat="false" ht="22.5" hidden="false" customHeight="true" outlineLevel="0" collapsed="false"/>
    <row r="48" customFormat="false" ht="22.5" hidden="false" customHeight="true" outlineLevel="0" collapsed="false"/>
    <row r="49" customFormat="false" ht="22.5" hidden="false" customHeight="true" outlineLevel="0" collapsed="false"/>
    <row r="50" customFormat="false" ht="22.5" hidden="false" customHeight="true" outlineLevel="0" collapsed="false"/>
    <row r="51" customFormat="false" ht="22.5" hidden="false" customHeight="true" outlineLevel="0" collapsed="false"/>
    <row r="52" customFormat="false" ht="22.5" hidden="false" customHeight="true" outlineLevel="0" collapsed="false"/>
    <row r="53" customFormat="false" ht="22.5" hidden="false" customHeight="true" outlineLevel="0" collapsed="false"/>
    <row r="54" customFormat="false" ht="22.5" hidden="false" customHeight="true" outlineLevel="0" collapsed="false"/>
  </sheetData>
  <mergeCells count="3">
    <mergeCell ref="A1:D2"/>
    <mergeCell ref="A3:D3"/>
    <mergeCell ref="A16:D17"/>
  </mergeCells>
  <printOptions headings="false" gridLines="false" gridLinesSet="true" horizontalCentered="false" verticalCentered="false"/>
  <pageMargins left="0.25" right="0.25" top="0.35" bottom="0.35" header="0.511811023622047" footer="0.15"/>
  <pageSetup paperSize="8" scale="100" fitToWidth="1" fitToHeight="1" pageOrder="downThenOver" orientation="landscape" blackAndWhite="false" draft="false" cellComments="none" horizontalDpi="300" verticalDpi="300" copies="1"/>
  <headerFooter differentFirst="false" differentOddEven="false">
    <oddHeader/>
    <oddFooter>&amp;C&amp;8 R-rdimensjonering | &amp;A | side &amp;P av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17589"/>
    <pageSetUpPr fitToPage="false"/>
  </sheetPr>
  <dimension ref="A1: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5"/>
    <col collapsed="false" customWidth="true" hidden="false" outlineLevel="0" max="2" min="2" style="0" width="31"/>
    <col collapsed="false" customWidth="true" hidden="false" outlineLevel="0" max="3" min="3" style="0" width="18"/>
    <col collapsed="false" customWidth="true" hidden="false" outlineLevel="0" max="4" min="4" style="0" width="35"/>
    <col collapsed="false" customWidth="true" hidden="false" outlineLevel="0" max="5" min="5" style="0" width="25"/>
  </cols>
  <sheetData>
    <row r="1" customFormat="false" ht="15" hidden="false" customHeight="true" outlineLevel="0" collapsed="false">
      <c r="A1" s="36" t="s">
        <v>258</v>
      </c>
      <c r="B1" s="36"/>
      <c r="C1" s="36"/>
      <c r="D1" s="36"/>
      <c r="E1" s="36"/>
    </row>
    <row r="2" customFormat="false" ht="15" hidden="false" customHeight="false" outlineLevel="0" collapsed="false">
      <c r="A2" s="36"/>
      <c r="B2" s="36"/>
      <c r="C2" s="36"/>
      <c r="D2" s="36"/>
      <c r="E2" s="36"/>
    </row>
    <row r="3" customFormat="false" ht="84.75" hidden="false" customHeight="true" outlineLevel="0" collapsed="false">
      <c r="A3" s="29" t="s">
        <v>259</v>
      </c>
      <c r="B3" s="29" t="str">
        <f aca="false">IFERROR(IF(COUNTIF(Rorserier,Trykkberegning!E6)=0,"FEIL: velg en gyldig rørserie.",IF(COUNTIF(Materialvalg,Trykkberegning!E13)=0,"FEIL: velg materiale.",IF(COUNTIF(ENStandarder,Trykkberegning!E14)=0,"FEIL: velg EN-produktstandard.",IF(AND(Trykkberegning!E14&lt;&gt;"Annen / dokumentert",ISERROR(SEARCH("|"&amp;Trykkberegning!E14&amp;"|",VLOOKUP(Trykkberegning!E13,Materialdata,4,FALSE())))),"FEIL: EN-produktstandard passer ikke materialvalget. Se Materialer.",IF(COUNTIF(Medievalg,Trykkberegning!E20)=0,"FEIL: velg medium.",IF(OR(NOT(ISNUMBER(Trykkberegning!E21)),Trykkberegning!E21&lt;=0,NOT(ISNUMBER(Trykkberegning!E22)),Trykkberegning!E22&lt;=0),"FEIL: tetthet og dynamisk viskositet må være større enn 0.",IF(OR(NOT(ISNUMBER(Trykkberegning!E12)),Trykkberegning!E12&lt;=0),"FEIL: innvendig diameter må være større enn 0. Kontroller dimensjon og veggtykkelse.",IF(AND(Trykkberegning!E11="",OR(NOT(ISNUMBER(Trykkberegning!E10)),Trykkberegning!E10&lt;=0)),"FEIL: oppgi positiv veggtykkelse eller egen innvendig diameter.",IF(OR(NOT(ISNUMBER(Trykkberegning!E8)),Trykkberegning!E8&lt;0,AND(Trykkberegning!E8&gt;0,Trykkberegning!E12&gt;Trykkberegning!E8)),"FEIL: kontroller ytre og indre diameter.",IF(OR(NOT(ISNUMBER(Trykkberegning!E15)),Trykkberegning!E15&lt;0,Trykkberegning!E15&gt;=Trykkberegning!E12),"FEIL: ruhet må være &gt;=0 og mindre enn innvendig diameter.",IF(OR(Trykkberegning!E17="",NOT(ISNUMBER(Trykkberegning!E17)),Trykkberegning!E17&lt;0,Trykkberegning!E17&lt;&gt;INT(Trykkberegning!E17)),"FEIL: flenskoblinger må være et heltall &gt;=0.",IF(AND(Trykkberegning!E17&gt;0,OR(Trykkberegning!E18="",NOT(ISNUMBER(Trykkberegning!E18)),Trykkberegning!E18&lt;0)),"FEIL: oppgi K &gt;=0 per flenskobling.",IF(OR(Trykkberegning!E25="",NOT(ISNUMBER(Trykkberegning!E25)),Trykkberegning!E25&lt;0),"FEIL: volumstrøm må være et tall &gt;=0.",IF(OR(Trykkberegning!E29="",NOT(ISNUMBER(Trykkberegning!E29)),Trykkberegning!E29&lt;0,Trykkberegning!E30="",NOT(ISNUMBER(Trykkberegning!E30)),Trykkberegning!E30&lt;0,Trykkberegning!E31="",NOT(ISNUMBER(Trykkberegning!E31)),Trykkberegning!E31&lt;0),"FEIL: rette meter og høydemeter må være tall &gt;=0.",IF(AND(Trykkberegning!E33&lt;&gt;"",NOT(ISNUMBER(Trykkberegning!E33))),"FEIL: innløpstrykk må være et tall eller tomt.","OK"))))))))))))))),"FEIL: kontroller inndata; tallfelt kan ikke inneholde tekst.")</f>
        <v>OK</v>
      </c>
      <c r="C3" s="29"/>
    </row>
    <row r="4" customFormat="false" ht="84.75" hidden="false" customHeight="true" outlineLevel="0" collapsed="false">
      <c r="A4" s="29" t="s">
        <v>260</v>
      </c>
      <c r="B4" s="29" t="str">
        <f aca="false">IFERROR(IF(B3&lt;&gt;"OK",B3,IF(AND(B14&gt;=2300,B14&lt;4000),"FEIL: Reynolds 2300–4000 er overgangsområde; modellen gir ikke et sikkert resultat.",IF(COUNTIF(Bend!J7:J31,"OK")+COUNTIF(Bend!J7:J31,"Ikke med")&lt;&gt;25,"FEIL: kontroller aktive rader i Bend.",IF(COUNTIF(Ventiler!F7:F31,"OK")+COUNTIF(Ventiler!F7:F31,"Ikke med")&lt;&gt;25,"FEIL: kontroller aktive rader i Ventiler.",IF(COUNTIF(Komponenter!F7:F31,"OK")+COUNTIF(Komponenter!F7:F31,"Ikke med")&lt;&gt;25,"FEIL: kontroller aktive rader i Komponenter.",IF(AND(B7=0,SUM(Ventiler!D7:D31,Komponenter!D7:D31)&gt;0),"FEIL: ved null volumstrøm må komponenttrykkfall være 0.","OK")))))),"FEIL: kontroller beregningsformler.")</f>
        <v>OK</v>
      </c>
      <c r="C4" s="29"/>
    </row>
    <row r="6" customFormat="false" ht="15" hidden="false" customHeight="false" outlineLevel="0" collapsed="false">
      <c r="A6" s="29" t="s">
        <v>261</v>
      </c>
      <c r="B6" s="37" t="n">
        <v>9.80665</v>
      </c>
      <c r="C6" s="29" t="s">
        <v>262</v>
      </c>
    </row>
    <row r="7" customFormat="false" ht="15" hidden="false" customHeight="false" outlineLevel="0" collapsed="false">
      <c r="A7" s="29" t="s">
        <v>44</v>
      </c>
      <c r="B7" s="37" t="n">
        <f aca="false">IFERROR(IF(B3="OK",Trykkberegning!E25/3600,""),"")</f>
        <v>0.01</v>
      </c>
      <c r="C7" s="29" t="s">
        <v>263</v>
      </c>
    </row>
    <row r="8" customFormat="false" ht="15" hidden="false" customHeight="false" outlineLevel="0" collapsed="false">
      <c r="A8" s="29" t="s">
        <v>264</v>
      </c>
      <c r="B8" s="37" t="n">
        <f aca="false">IFERROR(IF(B3="OK",Trykkberegning!E12/1000,""),"")</f>
        <v>0.0825</v>
      </c>
      <c r="C8" s="29" t="s">
        <v>50</v>
      </c>
    </row>
    <row r="9" customFormat="false" ht="15" hidden="false" customHeight="false" outlineLevel="0" collapsed="false">
      <c r="A9" s="29" t="s">
        <v>265</v>
      </c>
      <c r="B9" s="37" t="n">
        <f aca="false">IFERROR(IF(B3="OK",Trykkberegning!E22/1000,""),"")</f>
        <v>0.001002</v>
      </c>
      <c r="C9" s="29" t="s">
        <v>266</v>
      </c>
    </row>
    <row r="10" customFormat="false" ht="15" hidden="false" customHeight="false" outlineLevel="0" collapsed="false">
      <c r="A10" s="29" t="s">
        <v>267</v>
      </c>
      <c r="B10" s="37" t="n">
        <f aca="false">IFERROR(IF(B3="OK",Trykkberegning!E21,""),"")</f>
        <v>998.2</v>
      </c>
      <c r="C10" s="29" t="s">
        <v>38</v>
      </c>
    </row>
    <row r="11" customFormat="false" ht="15" hidden="false" customHeight="false" outlineLevel="0" collapsed="false">
      <c r="A11" s="29" t="s">
        <v>268</v>
      </c>
      <c r="B11" s="37" t="n">
        <f aca="false">IFERROR(IF(B3="OK",Trykkberegning!E15/1000,""),"")</f>
        <v>4.5E-005</v>
      </c>
      <c r="C11" s="29" t="s">
        <v>50</v>
      </c>
    </row>
    <row r="12" customFormat="false" ht="15" hidden="false" customHeight="false" outlineLevel="0" collapsed="false">
      <c r="A12" s="29" t="s">
        <v>269</v>
      </c>
      <c r="B12" s="37" t="n">
        <f aca="false">IFERROR(IF(B3="OK",PI()*B8^2/4,""),"")</f>
        <v>0.00534561624962388</v>
      </c>
      <c r="C12" s="29" t="s">
        <v>270</v>
      </c>
    </row>
    <row r="13" customFormat="false" ht="15" hidden="false" customHeight="false" outlineLevel="0" collapsed="false">
      <c r="A13" s="29" t="s">
        <v>271</v>
      </c>
      <c r="B13" s="37" t="n">
        <f aca="false">IFERROR(IF(B3="OK",B7/B12,""),"")</f>
        <v>1.87069170943642</v>
      </c>
      <c r="C13" s="29" t="s">
        <v>272</v>
      </c>
    </row>
    <row r="14" customFormat="false" ht="15" hidden="false" customHeight="false" outlineLevel="0" collapsed="false">
      <c r="A14" s="29" t="s">
        <v>24</v>
      </c>
      <c r="B14" s="37" t="n">
        <f aca="false">IFERROR(IF(B3="OK",B10*B13*B8/B9,""),"")</f>
        <v>153746.774760133</v>
      </c>
      <c r="C14" s="29" t="s">
        <v>31</v>
      </c>
    </row>
    <row r="15" customFormat="false" ht="15" hidden="false" customHeight="false" outlineLevel="0" collapsed="false">
      <c r="A15" s="29" t="s">
        <v>273</v>
      </c>
      <c r="B15" s="37" t="n">
        <f aca="false">IFERROR(IF(B3="OK",B11/B8,""),"")</f>
        <v>0.000545454545454545</v>
      </c>
      <c r="C15" s="29" t="s">
        <v>31</v>
      </c>
    </row>
    <row r="16" customFormat="false" ht="15" hidden="false" customHeight="false" outlineLevel="0" collapsed="false">
      <c r="A16" s="29" t="s">
        <v>274</v>
      </c>
      <c r="B16" s="37" t="n">
        <f aca="false">IFERROR(IF(B3="OK",IF(B14=0,0,IF(B14&lt;2300,64/B14,(-1.8*LOG10((B15/3.7)^1.11+6.9/B14))^(-2))),""),"")</f>
        <v>0.0193209862491592</v>
      </c>
      <c r="C16" s="29" t="s">
        <v>31</v>
      </c>
    </row>
    <row r="17" customFormat="false" ht="15" hidden="false" customHeight="false" outlineLevel="0" collapsed="false">
      <c r="A17" s="29" t="s">
        <v>275</v>
      </c>
      <c r="B17" s="37" t="n">
        <f aca="false">IFERROR(IF(B3="OK",IF(B14=0,0,IF(B14&lt;2300,B16,(-2*LOG10(B15/3.7+2.51/(B14*SQRT(B16))))^(-2))),""),"")</f>
        <v>0.0195393516631449</v>
      </c>
      <c r="C17" s="29" t="s">
        <v>31</v>
      </c>
    </row>
    <row r="18" customFormat="false" ht="15" hidden="false" customHeight="false" outlineLevel="0" collapsed="false">
      <c r="A18" s="29" t="s">
        <v>276</v>
      </c>
      <c r="B18" s="37" t="n">
        <f aca="false">IFERROR(IF(B3="OK",IF(B14=0,0,IF(B14&lt;2300,B16,(-2*LOG10(B15/3.7+2.51/(B14*SQRT(B17))))^(-2))),""),"")</f>
        <v>0.019527552936431</v>
      </c>
      <c r="C18" s="29" t="s">
        <v>31</v>
      </c>
    </row>
    <row r="19" customFormat="false" ht="15" hidden="false" customHeight="false" outlineLevel="0" collapsed="false">
      <c r="A19" s="29" t="s">
        <v>277</v>
      </c>
      <c r="B19" s="37" t="n">
        <f aca="false">IFERROR(IF(B3="OK",IF(B14=0,0,IF(B14&lt;2300,B16,(-2*LOG10(B15/3.7+2.51/(B14*SQRT(B18))))^(-2))),""),"")</f>
        <v>0.0195281858572709</v>
      </c>
      <c r="C19" s="29" t="s">
        <v>31</v>
      </c>
    </row>
    <row r="20" customFormat="false" ht="15" hidden="false" customHeight="false" outlineLevel="0" collapsed="false">
      <c r="A20" s="29" t="s">
        <v>278</v>
      </c>
      <c r="B20" s="37" t="n">
        <f aca="false">IFERROR(IF(B3="OK",IF(B14=0,0,IF(B14&lt;2300,B16,(-2*LOG10(B15/3.7+2.51/(B14*SQRT(B19))))^(-2))),""),"")</f>
        <v>0.0195281518922101</v>
      </c>
      <c r="C20" s="29" t="s">
        <v>31</v>
      </c>
    </row>
    <row r="21" customFormat="false" ht="15" hidden="false" customHeight="false" outlineLevel="0" collapsed="false">
      <c r="A21" s="29" t="s">
        <v>279</v>
      </c>
      <c r="B21" s="37" t="n">
        <f aca="false">IFERROR(IF(B3="OK",IF(B14=0,0,IF(B14&lt;2300,B16,(-2*LOG10(B15/3.7+2.51/(B14*SQRT(B20))))^(-2))),""),"")</f>
        <v>0.0195281537148729</v>
      </c>
      <c r="C21" s="29" t="s">
        <v>31</v>
      </c>
    </row>
    <row r="22" customFormat="false" ht="15" hidden="false" customHeight="false" outlineLevel="0" collapsed="false">
      <c r="A22" s="29" t="s">
        <v>280</v>
      </c>
      <c r="B22" s="37" t="n">
        <f aca="false">IFERROR(IF(B3="OK",IF(B14=0,0,IF(B14&lt;2300,B16,(-2*LOG10(B15/3.7+2.51/(B14*SQRT(B21))))^(-2))),""),"")</f>
        <v>0.0195281536170635</v>
      </c>
      <c r="C22" s="29" t="s">
        <v>31</v>
      </c>
    </row>
    <row r="23" customFormat="false" ht="15" hidden="false" customHeight="false" outlineLevel="0" collapsed="false">
      <c r="A23" s="29" t="s">
        <v>281</v>
      </c>
      <c r="B23" s="37" t="n">
        <f aca="false">IFERROR(IF(B3="OK",B22,""),"")</f>
        <v>0.0195281536170635</v>
      </c>
      <c r="C23" s="29" t="s">
        <v>31</v>
      </c>
    </row>
    <row r="24" customFormat="false" ht="15" hidden="false" customHeight="false" outlineLevel="0" collapsed="false">
      <c r="A24" s="29" t="s">
        <v>26</v>
      </c>
      <c r="B24" s="29" t="str">
        <f aca="false">IFERROR(IF(B3="OK",IF(B14=0,"Ingen strømning",IF(B14&lt;2300,"Laminært",IF(B14&lt;4000,"Overgang","Turbulent"))),""),"")</f>
        <v>Turbulent</v>
      </c>
      <c r="C24" s="29"/>
    </row>
    <row r="25" customFormat="false" ht="15" hidden="false" customHeight="false" outlineLevel="0" collapsed="false">
      <c r="A25" s="29" t="s">
        <v>282</v>
      </c>
      <c r="B25" s="37" t="n">
        <f aca="false">IFERROR(IF(B3="OK",B10*B13^2/2,""),"")</f>
        <v>1746.5941971525</v>
      </c>
      <c r="C25" s="29" t="s">
        <v>283</v>
      </c>
    </row>
    <row r="26" customFormat="false" ht="15" hidden="false" customHeight="false" outlineLevel="0" collapsed="false">
      <c r="A26" s="29" t="s">
        <v>53</v>
      </c>
      <c r="B26" s="37" t="n">
        <f aca="false">IFERROR(IF(B3="OK",Trykkberegning!E30-Trykkberegning!E31,""),"")</f>
        <v>8</v>
      </c>
      <c r="C26" s="29" t="s">
        <v>50</v>
      </c>
    </row>
    <row r="29" customFormat="false" ht="15" hidden="false" customHeight="false" outlineLevel="0" collapsed="false">
      <c r="A29" s="29" t="s">
        <v>284</v>
      </c>
      <c r="B29" s="37" t="n">
        <f aca="false">IFERROR(IF(B4="OK",B23*Trykkberegning!E29/B8*B25,""),"")</f>
        <v>41342.7391377765</v>
      </c>
      <c r="C29" s="29" t="s">
        <v>283</v>
      </c>
      <c r="D29" s="29" t="s">
        <v>285</v>
      </c>
      <c r="E29" s="29" t="s">
        <v>286</v>
      </c>
    </row>
    <row r="30" customFormat="false" ht="15" hidden="false" customHeight="false" outlineLevel="0" collapsed="false">
      <c r="A30" s="29" t="s">
        <v>287</v>
      </c>
      <c r="B30" s="37" t="n">
        <f aca="false">IFERROR(IF(B4="OK",SUM(Bend!I7:I31)*1000,""),"")</f>
        <v>2243.74066707195</v>
      </c>
      <c r="C30" s="29" t="s">
        <v>283</v>
      </c>
      <c r="D30" s="29" t="s">
        <v>284</v>
      </c>
      <c r="E30" s="14" t="n">
        <f aca="false">IF(B4="OK",B29/100000,0)</f>
        <v>0.413427391377765</v>
      </c>
    </row>
    <row r="31" customFormat="false" ht="15" hidden="false" customHeight="false" outlineLevel="0" collapsed="false">
      <c r="A31" s="29" t="s">
        <v>288</v>
      </c>
      <c r="B31" s="37" t="n">
        <f aca="false">IFERROR(IF(B4="OK",SUM(Ventiler!D7:D31)*1000,""),"")</f>
        <v>0</v>
      </c>
      <c r="C31" s="29" t="s">
        <v>283</v>
      </c>
      <c r="D31" s="29" t="s">
        <v>289</v>
      </c>
      <c r="E31" s="14" t="n">
        <f aca="false">IF(B4="OK",B30/100000,0)</f>
        <v>0.0224374066707195</v>
      </c>
    </row>
    <row r="32" customFormat="false" ht="15" hidden="false" customHeight="false" outlineLevel="0" collapsed="false">
      <c r="A32" s="29" t="s">
        <v>290</v>
      </c>
      <c r="B32" s="37" t="n">
        <f aca="false">IFERROR(IF(B4="OK",SUM(Komponenter!D7:D31)*1000,""),"")</f>
        <v>0</v>
      </c>
      <c r="C32" s="29" t="s">
        <v>283</v>
      </c>
      <c r="D32" s="29" t="s">
        <v>288</v>
      </c>
      <c r="E32" s="14" t="n">
        <f aca="false">IF(B4="OK",B31/100000,0)</f>
        <v>0</v>
      </c>
    </row>
    <row r="33" customFormat="false" ht="15" hidden="false" customHeight="false" outlineLevel="0" collapsed="false">
      <c r="A33" s="29" t="s">
        <v>291</v>
      </c>
      <c r="B33" s="37" t="n">
        <f aca="false">IFERROR(IF(B4="OK",IF(Trykkberegning!E17=0,0,Trykkberegning!E17*Trykkberegning!E18*B25),""),"")</f>
        <v>0</v>
      </c>
      <c r="C33" s="29" t="s">
        <v>283</v>
      </c>
      <c r="D33" s="29" t="s">
        <v>292</v>
      </c>
      <c r="E33" s="14" t="n">
        <f aca="false">IF(B4="OK",B33/100000,0)</f>
        <v>0</v>
      </c>
    </row>
    <row r="34" customFormat="false" ht="15" hidden="false" customHeight="false" outlineLevel="0" collapsed="false">
      <c r="D34" s="29" t="s">
        <v>290</v>
      </c>
      <c r="E34" s="14" t="n">
        <f aca="false">IF(B4="OK",B32/100000,0)</f>
        <v>0</v>
      </c>
    </row>
    <row r="35" customFormat="false" ht="15" hidden="false" customHeight="false" outlineLevel="0" collapsed="false">
      <c r="A35" s="29" t="s">
        <v>16</v>
      </c>
      <c r="B35" s="37" t="n">
        <f aca="false">IFERROR(IF(B4="OK",SUM(B29:B33),""),"")</f>
        <v>43586.4798048485</v>
      </c>
      <c r="C35" s="29" t="s">
        <v>283</v>
      </c>
      <c r="D35" s="29" t="s">
        <v>293</v>
      </c>
      <c r="E35" s="14" t="n">
        <f aca="false">IF(B4="OK",B36/100000,0)</f>
        <v>0.7831198424</v>
      </c>
    </row>
    <row r="36" customFormat="false" ht="15" hidden="false" customHeight="false" outlineLevel="0" collapsed="false">
      <c r="A36" s="29" t="s">
        <v>294</v>
      </c>
      <c r="B36" s="37" t="n">
        <f aca="false">IFERROR(IF(B4="OK",B10*B6*B26,""),"")</f>
        <v>78311.98424</v>
      </c>
      <c r="C36" s="29" t="s">
        <v>283</v>
      </c>
    </row>
    <row r="37" customFormat="false" ht="15" hidden="false" customHeight="false" outlineLevel="0" collapsed="false">
      <c r="A37" s="29" t="s">
        <v>295</v>
      </c>
      <c r="B37" s="37" t="n">
        <f aca="false">IFERROR(IF(B4="OK",B35+B36,""),"")</f>
        <v>121898.464044849</v>
      </c>
      <c r="C37" s="29" t="s">
        <v>283</v>
      </c>
    </row>
    <row r="38" customFormat="false" ht="15" hidden="false" customHeight="false" outlineLevel="0" collapsed="false">
      <c r="A38" s="29" t="s">
        <v>296</v>
      </c>
      <c r="B38" s="37" t="n">
        <f aca="false">IFERROR(IF(B3="OK",IF(B14&lt;2300,0,1/SQRT(B23)+2*LOG10(B15/3.7+2.51/(B14*SQRT(B23)))),""),"")</f>
        <v>9.61685842071347E-010</v>
      </c>
      <c r="C38" s="29" t="s">
        <v>31</v>
      </c>
    </row>
  </sheetData>
  <mergeCells count="1">
    <mergeCell ref="A1: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297</v>
      </c>
      <c r="B1" s="0" t="s">
        <v>298</v>
      </c>
      <c r="C1" s="0" t="s">
        <v>299</v>
      </c>
      <c r="D1" s="0" t="s">
        <v>217</v>
      </c>
      <c r="E1" s="0" t="s">
        <v>300</v>
      </c>
      <c r="F1" s="0" t="s">
        <v>301</v>
      </c>
      <c r="G1" s="0" t="s">
        <v>302</v>
      </c>
    </row>
    <row r="2" customFormat="false" ht="15" hidden="false" customHeight="false" outlineLevel="0" collapsed="false">
      <c r="A2" s="0" t="s">
        <v>5</v>
      </c>
      <c r="B2" s="0" t="s">
        <v>135</v>
      </c>
      <c r="C2" s="0" t="s">
        <v>179</v>
      </c>
      <c r="D2" s="0" t="s">
        <v>18</v>
      </c>
      <c r="E2" s="0" t="s">
        <v>303</v>
      </c>
      <c r="F2" s="0" t="s">
        <v>248</v>
      </c>
      <c r="G2" s="0" t="s">
        <v>76</v>
      </c>
      <c r="I2" s="0" t="s">
        <v>76</v>
      </c>
      <c r="J2" s="0" t="n">
        <v>1.5</v>
      </c>
      <c r="K2" s="0" t="s">
        <v>304</v>
      </c>
    </row>
    <row r="3" customFormat="false" ht="15" hidden="false" customHeight="false" outlineLevel="0" collapsed="false">
      <c r="A3" s="0" t="s">
        <v>163</v>
      </c>
      <c r="B3" s="0" t="s">
        <v>138</v>
      </c>
      <c r="C3" s="0" t="s">
        <v>182</v>
      </c>
      <c r="D3" s="0" t="s">
        <v>225</v>
      </c>
      <c r="E3" s="0" t="s">
        <v>305</v>
      </c>
      <c r="F3" s="0" t="s">
        <v>36</v>
      </c>
      <c r="G3" s="0" t="s">
        <v>79</v>
      </c>
      <c r="I3" s="0" t="s">
        <v>79</v>
      </c>
      <c r="J3" s="0" t="n">
        <v>1</v>
      </c>
      <c r="K3" s="0" t="s">
        <v>306</v>
      </c>
    </row>
    <row r="4" customFormat="false" ht="15" hidden="false" customHeight="false" outlineLevel="0" collapsed="false">
      <c r="A4" s="0" t="s">
        <v>178</v>
      </c>
      <c r="B4" s="0" t="s">
        <v>140</v>
      </c>
      <c r="C4" s="0" t="s">
        <v>184</v>
      </c>
      <c r="D4" s="0" t="s">
        <v>227</v>
      </c>
      <c r="E4" s="0" t="s">
        <v>21</v>
      </c>
      <c r="F4" s="0" t="s">
        <v>250</v>
      </c>
      <c r="G4" s="0" t="s">
        <v>307</v>
      </c>
      <c r="I4" s="0" t="s">
        <v>307</v>
      </c>
      <c r="J4" s="0" t="n">
        <v>0</v>
      </c>
      <c r="K4" s="0" t="s">
        <v>308</v>
      </c>
    </row>
    <row r="5" customFormat="false" ht="15" hidden="false" customHeight="false" outlineLevel="0" collapsed="false">
      <c r="B5" s="0" t="s">
        <v>142</v>
      </c>
      <c r="C5" s="0" t="s">
        <v>186</v>
      </c>
      <c r="D5" s="0" t="s">
        <v>231</v>
      </c>
      <c r="E5" s="0" t="s">
        <v>309</v>
      </c>
      <c r="F5" s="0" t="s">
        <v>251</v>
      </c>
      <c r="G5" s="0" t="s">
        <v>78</v>
      </c>
      <c r="I5" s="0" t="s">
        <v>78</v>
      </c>
      <c r="J5" s="0" t="n">
        <v>0</v>
      </c>
      <c r="K5" s="0" t="s">
        <v>308</v>
      </c>
    </row>
    <row r="6" customFormat="false" ht="15" hidden="false" customHeight="false" outlineLevel="0" collapsed="false">
      <c r="B6" s="0" t="s">
        <v>144</v>
      </c>
      <c r="C6" s="0" t="s">
        <v>188</v>
      </c>
      <c r="D6" s="0" t="s">
        <v>235</v>
      </c>
      <c r="E6" s="0" t="s">
        <v>310</v>
      </c>
      <c r="F6" s="0" t="s">
        <v>252</v>
      </c>
      <c r="G6" s="0" t="s">
        <v>77</v>
      </c>
      <c r="I6" s="0" t="s">
        <v>77</v>
      </c>
      <c r="J6" s="0" t="n">
        <v>0</v>
      </c>
      <c r="K6" s="0" t="s">
        <v>308</v>
      </c>
    </row>
    <row r="7" customFormat="false" ht="15" hidden="false" customHeight="false" outlineLevel="0" collapsed="false">
      <c r="B7" s="0" t="s">
        <v>146</v>
      </c>
      <c r="C7" s="0" t="s">
        <v>190</v>
      </c>
      <c r="D7" s="0" t="s">
        <v>237</v>
      </c>
      <c r="E7" s="0" t="s">
        <v>311</v>
      </c>
      <c r="F7" s="0" t="s">
        <v>253</v>
      </c>
      <c r="G7" s="0" t="s">
        <v>312</v>
      </c>
      <c r="I7" s="0" t="s">
        <v>312</v>
      </c>
      <c r="J7" s="0" t="n">
        <v>0</v>
      </c>
      <c r="K7" s="0" t="s">
        <v>308</v>
      </c>
    </row>
    <row r="8" customFormat="false" ht="15" hidden="false" customHeight="false" outlineLevel="0" collapsed="false">
      <c r="B8" s="0" t="s">
        <v>148</v>
      </c>
      <c r="C8" s="0" t="s">
        <v>192</v>
      </c>
      <c r="E8" s="0" t="s">
        <v>313</v>
      </c>
      <c r="F8" s="0" t="s">
        <v>255</v>
      </c>
      <c r="G8" s="0" t="s">
        <v>314</v>
      </c>
      <c r="I8" s="0" t="s">
        <v>314</v>
      </c>
      <c r="J8" s="0" t="n">
        <v>0</v>
      </c>
      <c r="K8" s="0" t="s">
        <v>315</v>
      </c>
    </row>
    <row r="9" customFormat="false" ht="15" hidden="false" customHeight="false" outlineLevel="0" collapsed="false">
      <c r="B9" s="0" t="s">
        <v>8</v>
      </c>
      <c r="C9" s="0" t="s">
        <v>194</v>
      </c>
      <c r="E9" s="0" t="s">
        <v>316</v>
      </c>
    </row>
    <row r="10" customFormat="false" ht="15" hidden="false" customHeight="false" outlineLevel="0" collapsed="false">
      <c r="B10" s="0" t="s">
        <v>151</v>
      </c>
      <c r="C10" s="0" t="s">
        <v>196</v>
      </c>
    </row>
    <row r="11" customFormat="false" ht="15" hidden="false" customHeight="false" outlineLevel="0" collapsed="false">
      <c r="B11" s="0" t="s">
        <v>153</v>
      </c>
      <c r="C11" s="0" t="s">
        <v>198</v>
      </c>
    </row>
    <row r="12" customFormat="false" ht="15" hidden="false" customHeight="false" outlineLevel="0" collapsed="false">
      <c r="B12" s="0" t="s">
        <v>155</v>
      </c>
      <c r="C12" s="0" t="s">
        <v>200</v>
      </c>
    </row>
    <row r="13" customFormat="false" ht="15" hidden="false" customHeight="false" outlineLevel="0" collapsed="false">
      <c r="B13" s="0" t="s">
        <v>157</v>
      </c>
      <c r="C13" s="0" t="s">
        <v>202</v>
      </c>
    </row>
    <row r="14" customFormat="false" ht="15" hidden="false" customHeight="false" outlineLevel="0" collapsed="false">
      <c r="B14" s="0" t="s">
        <v>159</v>
      </c>
      <c r="C14" s="0" t="s">
        <v>204</v>
      </c>
    </row>
    <row r="15" customFormat="false" ht="15" hidden="false" customHeight="false" outlineLevel="0" collapsed="false">
      <c r="B15" s="0" t="s">
        <v>161</v>
      </c>
      <c r="C15" s="0" t="s">
        <v>206</v>
      </c>
    </row>
    <row r="16" customFormat="false" ht="15" hidden="false" customHeight="false" outlineLevel="0" collapsed="false">
      <c r="B16" s="0" t="s">
        <v>317</v>
      </c>
      <c r="C16" s="0" t="s">
        <v>208</v>
      </c>
    </row>
    <row r="17" customFormat="false" ht="15" hidden="false" customHeight="false" outlineLevel="0" collapsed="false">
      <c r="C17" s="0" t="s">
        <v>210</v>
      </c>
    </row>
    <row r="18" customFormat="false" ht="15" hidden="false" customHeight="false" outlineLevel="0" collapsed="false">
      <c r="C18" s="0" t="s">
        <v>212</v>
      </c>
    </row>
    <row r="19" customFormat="false" ht="15" hidden="false" customHeight="false" outlineLevel="0" collapsed="false">
      <c r="C19" s="0" t="s">
        <v>214</v>
      </c>
    </row>
    <row r="20" customFormat="false" ht="15" hidden="false" customHeight="false" outlineLevel="0" collapsed="false">
      <c r="C20" s="0" t="s">
        <v>317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2026-10-14T08:04:54Z</dcterms:created>
  <dc:creator>R-rdimensjonering</dc:creator>
  <dc:description/>
  <dc:language>en-US</dc:language>
  <cp:lastModifiedBy/>
  <dcterms:modified xsi:type="dcterms:W3CDTF">2026-10-14T08:04:54Z</dcterms:modified>
  <cp:revision>0</cp:revision>
  <dc:subject>Darcy–Weisbach, Colebrook, bend og komponenttap</dc:subject>
  <dc:title>Trykkberegning av rør – væsker</dc:title>
</cp:coreProperties>
</file>

<file path=docProps/custom.xml><?xml version="1.0" encoding="utf-8"?>
<Properties xmlns="http://schemas.openxmlformats.org/officeDocument/2006/custom-properties" xmlns:vt="http://schemas.openxmlformats.org/officeDocument/2006/docPropsVTypes"/>
</file>