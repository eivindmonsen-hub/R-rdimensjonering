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drawings/vmlDrawing3.vml" ContentType="application/vnd.openxmlformats-officedocument.vmlDrawing"/>
  <Override PartName="/xl/drawings/drawing5.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ykkberegning" sheetId="1" state="visible" r:id="rId3"/>
    <sheet name="Rørstyrke" sheetId="2" state="visible" r:id="rId4"/>
    <sheet name="Reduksjoner" sheetId="3" state="visible" r:id="rId5"/>
    <sheet name="Rørstrekk" sheetId="4" state="visible" r:id="rId6"/>
    <sheet name="Bend" sheetId="5" state="visible" r:id="rId7"/>
    <sheet name="Ventiler" sheetId="6" state="visible" r:id="rId8"/>
    <sheet name="Komponenter" sheetId="7" state="visible" r:id="rId9"/>
    <sheet name="Ventilkatalog" sheetId="8" state="visible" r:id="rId10"/>
    <sheet name="Veiledning" sheetId="9" state="visible" r:id="rId11"/>
    <sheet name="Rørdata" sheetId="10" state="visible" r:id="rId12"/>
    <sheet name="Materialer" sheetId="11" state="visible" r:id="rId13"/>
    <sheet name="Medier" sheetId="12" state="visible" r:id="rId14"/>
    <sheet name="Beregning" sheetId="13" state="visible" r:id="rId15"/>
    <sheet name="_Lister" sheetId="14" state="hidden" r:id="rId16"/>
  </sheets>
  <definedNames>
    <definedName function="false" hidden="false" localSheetId="4" name="_xlnm.Print_Area" vbProcedure="false">Bend!$A$1:$L$36</definedName>
    <definedName function="false" hidden="true" localSheetId="4" name="_xlnm._FilterDatabase" vbProcedure="false">Bend!$A$6:$K$31</definedName>
    <definedName function="false" hidden="false" localSheetId="12" name="_xlnm.Print_Area" vbProcedure="false">Beregning!$A$1:$E$40</definedName>
    <definedName function="false" hidden="false" localSheetId="6" name="_xlnm.Print_Area" vbProcedure="false">Komponenter!$A$1:$F$36</definedName>
    <definedName function="false" hidden="true" localSheetId="6" name="_xlnm._FilterDatabase" vbProcedure="false">Komponenter!$A$6:$F$31</definedName>
    <definedName function="false" hidden="false" localSheetId="10" name="_xlnm.Print_Area" vbProcedure="false">Materialer!$A$1:$E$20</definedName>
    <definedName function="false" hidden="false" localSheetId="11" name="_xlnm.Print_Area" vbProcedure="false">Medier!$A$1:$D$18</definedName>
    <definedName function="false" hidden="false" localSheetId="2" name="_xlnm.Print_Area" vbProcedure="false">Reduksjoner!$A$1:$L$37</definedName>
    <definedName function="false" hidden="false" localSheetId="9" name="_xlnm.Print_Area" vbProcedure="false">Rørdata!$B$1:$E$52</definedName>
    <definedName function="false" hidden="false" localSheetId="9" name="_xlnm.Print_Titles" vbProcedure="false">Rørdata!$1:$6</definedName>
    <definedName function="false" hidden="true" localSheetId="9" name="_xlnm._FilterDatabase" vbProcedure="false">Rørdata!$A$6:$E$52</definedName>
    <definedName function="false" hidden="false" localSheetId="3" name="_xlnm.Print_Area" vbProcedure="false">Rørstrekk!$A$1:$J$37</definedName>
    <definedName function="false" hidden="false" localSheetId="1" name="_xlnm.Print_Area" vbProcedure="false">Rørstyrke!$A$1:$M$39</definedName>
    <definedName function="false" hidden="false" localSheetId="0" name="_xlnm.Print_Area" vbProcedure="false">Trykkberegning!$A$1:$N$45</definedName>
    <definedName function="false" hidden="false" localSheetId="8" name="_xlnm.Print_Area" vbProcedure="false">Veiledning!$A$1:$C$23</definedName>
    <definedName function="false" hidden="false" localSheetId="8" name="_xlnm.Print_Titles" vbProcedure="false">Veiledning!$1:$3</definedName>
    <definedName function="false" hidden="false" localSheetId="5" name="_xlnm.Print_Area" vbProcedure="false">Ventiler!$A$1:$M$36</definedName>
    <definedName function="false" hidden="true" localSheetId="5" name="_xlnm._FilterDatabase" vbProcedure="false">Ventiler!$A$6:$F$31</definedName>
    <definedName function="false" hidden="false" localSheetId="7" name="_xlnm.Print_Area" vbProcedure="false">Ventilkatalog!$A$1:$E$12</definedName>
    <definedName function="false" hidden="true" localSheetId="7" name="_xlnm._FilterDatabase" vbProcedure="false">Ventilkatalog!$A$6:$E$12</definedName>
    <definedName function="false" hidden="false" name="Benddata" vbProcedure="false">_Lister!$I$2:$K$8</definedName>
    <definedName function="false" hidden="false" name="Bendtyper" vbProcedure="false">_Lister!$G$2:$G$8</definedName>
    <definedName function="false" hidden="false" name="ENStandarder" vbProcedure="false">_Lister!$E$2:$E$9</definedName>
    <definedName function="false" hidden="false" name="Materialdata" vbProcedure="false">Materialer!$A$7:$E$12</definedName>
    <definedName function="false" hidden="false" name="Materialvalg" vbProcedure="false">_Lister!$D$2:$D$7</definedName>
    <definedName function="false" hidden="false" name="Mediedata" vbProcedure="false">Medier!$A$7:$D$13</definedName>
    <definedName function="false" hidden="false" name="Medievalg" vbProcedure="false">_Lister!$F$2:$F$8</definedName>
    <definedName function="false" hidden="false" name="MetriskeOD" vbProcedure="false">_Lister!$C$2:$C$20</definedName>
    <definedName function="false" hidden="false" name="NominelleDN" vbProcedure="false">_Lister!$B$2:$B$16</definedName>
    <definedName function="false" hidden="false" name="Roroppslag" vbProcedure="false">Rørdata!$A$7:$E$52</definedName>
    <definedName function="false" hidden="false" name="Rorserier" vbProcedure="false">_Lister!$A$2:$A$4</definedName>
    <definedName function="false" hidden="false" name="Ventiloppslag" vbProcedure="false">Ventilkatalog!$A$7:$E$12</definedName>
    <definedName function="false" hidden="false" name="Ventilvalg" vbProcedure="false">Ventilkatalog!$A$7:$A$12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R-rdimensjonering</author>
  </authors>
  <commentList>
    <comment ref="E6" authorId="0">
      <text>
        <r>
          <rPr>
            <sz val="10"/>
            <rFont val="Arial"/>
            <family val="2"/>
          </rPr>
          <t xml:space="preserve">EN 10220 / ISO 4200 og ISO 1127: utvalg vanlig OD for metallrør. Metrisk OD er direkte valg i mm, uten automatisk veggserie.</t>
        </r>
      </text>
    </comment>
    <comment ref="E7" authorId="0">
      <text>
        <r>
          <rPr>
            <sz val="10"/>
            <rFont val="Arial"/>
            <family val="2"/>
          </rPr>
          <t xml:space="preserve">Bytter du til metrisk OD, velg en OD-verdi fra listen. DN alene bestemmer ikke innvendig diameter.</t>
        </r>
      </text>
    </comment>
    <comment ref="E9" authorId="0">
      <text>
        <r>
          <rPr>
            <sz val="10"/>
            <rFont val="Arial"/>
            <family val="2"/>
          </rPr>
          <t xml:space="preserve">Tomt felt bruker tabellens utvendige diameter. Egendefinert dimensjon trenger egen OD eller egen ID.</t>
        </r>
      </text>
    </comment>
    <comment ref="E10" authorId="0">
      <text>
        <r>
          <rPr>
            <sz val="10"/>
            <rFont val="Arial"/>
            <family val="2"/>
          </rPr>
          <t xml:space="preserve">Veggtykkelse må være kjent fra rørdata/sertifikat. Det foretas ingen mekanisk godstykkelsesberegning.</t>
        </r>
      </text>
    </comment>
    <comment ref="E11" authorId="0">
      <text>
        <r>
          <rPr>
            <sz val="10"/>
            <rFont val="Arial"/>
            <family val="2"/>
          </rPr>
          <t xml:space="preserve">Denne verdien overstyrer OD − 2 × veggtykkelse. Bruk for kjent/målt lysåpning, belegg eller avvikende veggserie.</t>
        </r>
      </text>
    </comment>
    <comment ref="E14" authorId="0">
      <text>
        <r>
          <rPr>
            <sz val="10"/>
            <rFont val="Arial"/>
            <family val="2"/>
          </rPr>
          <t xml:space="preserve">Velg kompatibel produktstandard for valgt materiale. Dette er dokumentasjon, ikke kontroll av arbeidstrykk iht. EN 13480.</t>
        </r>
      </text>
    </comment>
    <comment ref="E16" authorId="0">
      <text>
        <r>
          <rPr>
            <sz val="10"/>
            <rFont val="Arial"/>
            <family val="2"/>
          </rPr>
          <t xml:space="preserve">Tomt felt bruker materialets generelle startanslag. 0 gir hydraulisk glatt rør.</t>
        </r>
      </text>
    </comment>
    <comment ref="E17" authorId="0">
      <text>
        <r>
          <rPr>
            <sz val="10"/>
            <rFont val="Arial"/>
            <family val="2"/>
          </rPr>
          <t xml:space="preserve">Én kobling = ett flensepar med pakning. Kontroller flensstandard, f.eks. EN 1092-1, mot leverandørens dokumentasjon. Antall påvirker trykktap bare når K per kobling er større enn 0.</t>
        </r>
      </text>
    </comment>
    <comment ref="E18" authorId="0">
      <text>
        <r>
          <rPr>
            <sz val="10"/>
            <rFont val="Arial"/>
            <family val="2"/>
          </rPr>
          <t xml:space="preserve">K=0 er en idealisert kobling med lik diameter, full lysåpning og uten utstikkende pakning. Bruk dokumentert K ved innsnevring/avvik, med referanse til hastigheten i denne rørstrekningen. Alternativt registreres trykkfall i Komponenter, ikke begge steder.</t>
        </r>
      </text>
    </comment>
    <comment ref="E24" authorId="0">
      <text>
        <r>
          <rPr>
            <sz val="10"/>
            <rFont val="Arial"/>
            <family val="2"/>
          </rPr>
          <t xml:space="preserve">Dynamisk viskositet i mPa·s = cP. 1 Pa·s = 1000 mPa·s. Ikke legg inn kinematisk viskositet (cSt) her.</t>
        </r>
      </text>
    </comment>
    <comment ref="E25" authorId="0">
      <text>
        <r>
          <rPr>
            <sz val="10"/>
            <rFont val="Arial"/>
            <family val="2"/>
          </rPr>
          <t xml:space="preserve">Volumstrømmen er nødvendig for hastighet, Reynolds-tall og trykktap. Modellen bruker samme volumstrøm langs hele strekningen.</t>
        </r>
      </text>
    </comment>
    <comment ref="E29" authorId="0">
      <text>
        <r>
          <rPr>
            <sz val="10"/>
            <rFont val="Arial"/>
            <family val="2"/>
          </rPr>
          <t xml:space="preserve">Oppgi totale rette rørmeter, både horisontale og vertikale. Høydefeltene legger ikke til rørfriksjonslengde. Rennels-modellen inkluderer friksjon i den buede delen av bendene.</t>
        </r>
      </text>
    </comment>
    <comment ref="E30" authorId="0">
      <text>
        <r>
          <rPr>
            <sz val="10"/>
            <rFont val="Arial"/>
            <family val="2"/>
          </rPr>
          <t xml:space="preserve">Sum positive vertikale stigninger. Høydebidrag beregnes fra netto opp minus ned.</t>
        </r>
      </text>
    </comment>
    <comment ref="E31" authorId="0">
      <text>
        <r>
          <rPr>
            <sz val="10"/>
            <rFont val="Arial"/>
            <family val="2"/>
          </rPr>
          <t xml:space="preserve">Sum positive vertikale fall. Fall reduserer nødvendig trykkdifferanse; tapene forblir positive.</t>
        </r>
      </text>
    </comment>
    <comment ref="E33" authorId="0">
      <text>
        <r>
          <rPr>
            <sz val="10"/>
            <rFont val="Arial"/>
            <family val="2"/>
          </rPr>
          <t xml:space="preserve">Valgfritt manometertrykk. Utløpstrykk = innløpstrykk − nødvendig differanse, ved lik endehastighet. Kavitasjon/absolutt trykk vurderes ikke.</t>
        </r>
      </text>
    </comment>
  </commentList>
</comments>
</file>

<file path=xl/comments2.xml><?xml version="1.0" encoding="utf-8"?>
<comments xmlns="http://schemas.openxmlformats.org/spreadsheetml/2006/main" xmlns:xdr="http://schemas.openxmlformats.org/drawingml/2006/spreadsheetDrawing">
  <authors>
    <author>R-rdimensjonering</author>
  </authors>
  <commentList>
    <comment ref="E6" authorId="0">
      <text>
        <r>
          <rPr>
            <sz val="10"/>
            <rFont val="Arial"/>
            <family val="2"/>
          </rPr>
          <t xml:space="preserve">Hydraulisk trykktap er ikke dimensjonerende overtrykk. Oppgi maksimal trykkforskjell mellom innside og omgivelser, inkludert relevante trykktopper.</t>
        </r>
      </text>
    </comment>
    <comment ref="E7" authorId="0">
      <text>
        <r>
          <rPr>
            <sz val="10"/>
            <rFont val="Arial"/>
            <family val="2"/>
          </rPr>
          <t xml:space="preserve">Koblet til hovedfanen; kan overstyres med dokumentert ytre diameter.</t>
        </r>
      </text>
    </comment>
    <comment ref="E8" authorId="0">
      <text>
        <r>
          <rPr>
            <sz val="10"/>
            <rFont val="Arial"/>
            <family val="2"/>
          </rPr>
          <t xml:space="preserve">Bruk metallgodset, ikke hydraulisk ID av et belegg. Egen hydraulisk ID i hovedfanen brukes ikke til styrkegods.</t>
        </r>
      </text>
    </comment>
    <comment ref="E9" authorId="0">
      <text>
        <r>
          <rPr>
            <sz val="10"/>
            <rFont val="Arial"/>
            <family val="2"/>
          </rPr>
          <t xml:space="preserve">Oppgi dokumentert negativ produksjonstoleranse. 0 kan brukes ved garantert eller målt minste godstykkelse, uten å telle toleransen to ganger.</t>
        </r>
      </text>
    </comment>
    <comment ref="E10" authorId="0">
      <text>
        <r>
          <rPr>
            <sz val="10"/>
            <rFont val="Arial"/>
            <family val="2"/>
          </rPr>
          <t xml:space="preserve">Trekkes fra tilgjengelig gods etter negativ toleranse.</t>
        </r>
      </text>
    </comment>
    <comment ref="E12" authorId="0">
      <text>
        <r>
          <rPr>
            <sz val="10"/>
            <rFont val="Arial"/>
            <family val="2"/>
          </rPr>
          <t xml:space="preserve">Materialets flytegrense må dokumenteres ved denne temperaturen. Ingen automatisk temperaturinterpolasjon.</t>
        </r>
      </text>
    </comment>
    <comment ref="E13" authorId="0">
      <text>
        <r>
          <rPr>
            <sz val="10"/>
            <rFont val="Arial"/>
            <family val="2"/>
          </rPr>
          <t xml:space="preserve">Obligatorisk dokumentert materialverdi ved valgt temperatur. Ingen antatt universell flytegrense for materialnavnet.</t>
        </r>
      </text>
    </comment>
    <comment ref="E14" authorId="0">
      <text>
        <r>
          <rPr>
            <sz val="10"/>
            <rFont val="Arial"/>
            <family val="2"/>
          </rPr>
          <t xml:space="preserve">Referanse til materialnorm, temperaturtabell eller materialsertifikat.</t>
        </r>
      </text>
    </comment>
    <comment ref="E15" authorId="0">
      <text>
        <r>
          <rPr>
            <sz val="10"/>
            <rFont val="Arial"/>
            <family val="2"/>
          </rPr>
          <t xml:space="preserve">Bruk prosjekteringskravet mot flyt. 1,5 er en eksempelverdi, ikke et universelt normkrav.</t>
        </r>
      </text>
    </comment>
    <comment ref="E16" authorId="0">
      <text>
        <r>
          <rPr>
            <sz val="10"/>
            <rFont val="Arial"/>
            <family val="2"/>
          </rPr>
          <t xml:space="preserve">Dokumentert faktor 0&lt;η&lt;=1, f.eks. for skjøt. Dette er en enkel styrkereduksjon, ikke full EN-beregning av sveis.</t>
        </r>
      </text>
    </comment>
    <comment ref="E17" authorId="0">
      <text>
        <r>
          <rPr>
            <sz val="10"/>
            <rFont val="Arial"/>
            <family val="2"/>
          </rPr>
          <t xml:space="preserve">Sett Ja først når materialstyrken gjelder valgt materiale, tykkelse og temperatur.</t>
        </r>
      </text>
    </comment>
  </commentList>
</comments>
</file>

<file path=xl/comments5.xml><?xml version="1.0" encoding="utf-8"?>
<comments xmlns="http://schemas.openxmlformats.org/spreadsheetml/2006/main" xmlns:xdr="http://schemas.openxmlformats.org/drawingml/2006/spreadsheetDrawing">
  <authors>
    <author>R-rdimensjonering</author>
  </authors>
  <commentList>
    <comment ref="L7" authorId="0">
      <text>
        <r>
          <rPr>
            <sz val="10"/>
            <rFont val="Arial"/>
            <family val="2"/>
          </rPr>
          <t xml:space="preserve">Tomt = hoved-ID. Ved bend etter reduksjon oppgis lokal ID. Eget K skal referere til denne hastigheten.</t>
        </r>
      </text>
    </comment>
    <comment ref="L8" authorId="0">
      <text>
        <r>
          <rPr>
            <sz val="10"/>
            <rFont val="Arial"/>
            <family val="2"/>
          </rPr>
          <t xml:space="preserve">Tomt = hoved-ID. Ved bend etter reduksjon oppgis lokal ID. Eget K skal referere til denne hastigheten.</t>
        </r>
      </text>
    </comment>
    <comment ref="L9" authorId="0">
      <text>
        <r>
          <rPr>
            <sz val="10"/>
            <rFont val="Arial"/>
            <family val="2"/>
          </rPr>
          <t xml:space="preserve">Tomt = hoved-ID. Ved bend etter reduksjon oppgis lokal ID. Eget K skal referere til denne hastigheten.</t>
        </r>
      </text>
    </comment>
    <comment ref="L10" authorId="0">
      <text>
        <r>
          <rPr>
            <sz val="10"/>
            <rFont val="Arial"/>
            <family val="2"/>
          </rPr>
          <t xml:space="preserve">Tomt = hoved-ID. Ved bend etter reduksjon oppgis lokal ID. Eget K skal referere til denne hastigheten.</t>
        </r>
      </text>
    </comment>
    <comment ref="L11" authorId="0">
      <text>
        <r>
          <rPr>
            <sz val="10"/>
            <rFont val="Arial"/>
            <family val="2"/>
          </rPr>
          <t xml:space="preserve">Tomt = hoved-ID. Ved bend etter reduksjon oppgis lokal ID. Eget K skal referere til denne hastigheten.</t>
        </r>
      </text>
    </comment>
    <comment ref="L12" authorId="0">
      <text>
        <r>
          <rPr>
            <sz val="10"/>
            <rFont val="Arial"/>
            <family val="2"/>
          </rPr>
          <t xml:space="preserve">Tomt = hoved-ID. Ved bend etter reduksjon oppgis lokal ID. Eget K skal referere til denne hastigheten.</t>
        </r>
      </text>
    </comment>
    <comment ref="L13" authorId="0">
      <text>
        <r>
          <rPr>
            <sz val="10"/>
            <rFont val="Arial"/>
            <family val="2"/>
          </rPr>
          <t xml:space="preserve">Tomt = hoved-ID. Ved bend etter reduksjon oppgis lokal ID. Eget K skal referere til denne hastigheten.</t>
        </r>
      </text>
    </comment>
    <comment ref="L14" authorId="0">
      <text>
        <r>
          <rPr>
            <sz val="10"/>
            <rFont val="Arial"/>
            <family val="2"/>
          </rPr>
          <t xml:space="preserve">Tomt = hoved-ID. Ved bend etter reduksjon oppgis lokal ID. Eget K skal referere til denne hastigheten.</t>
        </r>
      </text>
    </comment>
    <comment ref="L15" authorId="0">
      <text>
        <r>
          <rPr>
            <sz val="10"/>
            <rFont val="Arial"/>
            <family val="2"/>
          </rPr>
          <t xml:space="preserve">Tomt = hoved-ID. Ved bend etter reduksjon oppgis lokal ID. Eget K skal referere til denne hastigheten.</t>
        </r>
      </text>
    </comment>
    <comment ref="L16" authorId="0">
      <text>
        <r>
          <rPr>
            <sz val="10"/>
            <rFont val="Arial"/>
            <family val="2"/>
          </rPr>
          <t xml:space="preserve">Tomt = hoved-ID. Ved bend etter reduksjon oppgis lokal ID. Eget K skal referere til denne hastigheten.</t>
        </r>
      </text>
    </comment>
    <comment ref="L17" authorId="0">
      <text>
        <r>
          <rPr>
            <sz val="10"/>
            <rFont val="Arial"/>
            <family val="2"/>
          </rPr>
          <t xml:space="preserve">Tomt = hoved-ID. Ved bend etter reduksjon oppgis lokal ID. Eget K skal referere til denne hastigheten.</t>
        </r>
      </text>
    </comment>
    <comment ref="L18" authorId="0">
      <text>
        <r>
          <rPr>
            <sz val="10"/>
            <rFont val="Arial"/>
            <family val="2"/>
          </rPr>
          <t xml:space="preserve">Tomt = hoved-ID. Ved bend etter reduksjon oppgis lokal ID. Eget K skal referere til denne hastigheten.</t>
        </r>
      </text>
    </comment>
    <comment ref="L19" authorId="0">
      <text>
        <r>
          <rPr>
            <sz val="10"/>
            <rFont val="Arial"/>
            <family val="2"/>
          </rPr>
          <t xml:space="preserve">Tomt = hoved-ID. Ved bend etter reduksjon oppgis lokal ID. Eget K skal referere til denne hastigheten.</t>
        </r>
      </text>
    </comment>
    <comment ref="L20" authorId="0">
      <text>
        <r>
          <rPr>
            <sz val="10"/>
            <rFont val="Arial"/>
            <family val="2"/>
          </rPr>
          <t xml:space="preserve">Tomt = hoved-ID. Ved bend etter reduksjon oppgis lokal ID. Eget K skal referere til denne hastigheten.</t>
        </r>
      </text>
    </comment>
    <comment ref="L21" authorId="0">
      <text>
        <r>
          <rPr>
            <sz val="10"/>
            <rFont val="Arial"/>
            <family val="2"/>
          </rPr>
          <t xml:space="preserve">Tomt = hoved-ID. Ved bend etter reduksjon oppgis lokal ID. Eget K skal referere til denne hastigheten.</t>
        </r>
      </text>
    </comment>
    <comment ref="L22" authorId="0">
      <text>
        <r>
          <rPr>
            <sz val="10"/>
            <rFont val="Arial"/>
            <family val="2"/>
          </rPr>
          <t xml:space="preserve">Tomt = hoved-ID. Ved bend etter reduksjon oppgis lokal ID. Eget K skal referere til denne hastigheten.</t>
        </r>
      </text>
    </comment>
    <comment ref="L23" authorId="0">
      <text>
        <r>
          <rPr>
            <sz val="10"/>
            <rFont val="Arial"/>
            <family val="2"/>
          </rPr>
          <t xml:space="preserve">Tomt = hoved-ID. Ved bend etter reduksjon oppgis lokal ID. Eget K skal referere til denne hastigheten.</t>
        </r>
      </text>
    </comment>
    <comment ref="L24" authorId="0">
      <text>
        <r>
          <rPr>
            <sz val="10"/>
            <rFont val="Arial"/>
            <family val="2"/>
          </rPr>
          <t xml:space="preserve">Tomt = hoved-ID. Ved bend etter reduksjon oppgis lokal ID. Eget K skal referere til denne hastigheten.</t>
        </r>
      </text>
    </comment>
    <comment ref="L25" authorId="0">
      <text>
        <r>
          <rPr>
            <sz val="10"/>
            <rFont val="Arial"/>
            <family val="2"/>
          </rPr>
          <t xml:space="preserve">Tomt = hoved-ID. Ved bend etter reduksjon oppgis lokal ID. Eget K skal referere til denne hastigheten.</t>
        </r>
      </text>
    </comment>
    <comment ref="L26" authorId="0">
      <text>
        <r>
          <rPr>
            <sz val="10"/>
            <rFont val="Arial"/>
            <family val="2"/>
          </rPr>
          <t xml:space="preserve">Tomt = hoved-ID. Ved bend etter reduksjon oppgis lokal ID. Eget K skal referere til denne hastigheten.</t>
        </r>
      </text>
    </comment>
    <comment ref="L27" authorId="0">
      <text>
        <r>
          <rPr>
            <sz val="10"/>
            <rFont val="Arial"/>
            <family val="2"/>
          </rPr>
          <t xml:space="preserve">Tomt = hoved-ID. Ved bend etter reduksjon oppgis lokal ID. Eget K skal referere til denne hastigheten.</t>
        </r>
      </text>
    </comment>
    <comment ref="L28" authorId="0">
      <text>
        <r>
          <rPr>
            <sz val="10"/>
            <rFont val="Arial"/>
            <family val="2"/>
          </rPr>
          <t xml:space="preserve">Tomt = hoved-ID. Ved bend etter reduksjon oppgis lokal ID. Eget K skal referere til denne hastigheten.</t>
        </r>
      </text>
    </comment>
    <comment ref="L29" authorId="0">
      <text>
        <r>
          <rPr>
            <sz val="10"/>
            <rFont val="Arial"/>
            <family val="2"/>
          </rPr>
          <t xml:space="preserve">Tomt = hoved-ID. Ved bend etter reduksjon oppgis lokal ID. Eget K skal referere til denne hastigheten.</t>
        </r>
      </text>
    </comment>
    <comment ref="L30" authorId="0">
      <text>
        <r>
          <rPr>
            <sz val="10"/>
            <rFont val="Arial"/>
            <family val="2"/>
          </rPr>
          <t xml:space="preserve">Tomt = hoved-ID. Ved bend etter reduksjon oppgis lokal ID. Eget K skal referere til denne hastigheten.</t>
        </r>
      </text>
    </comment>
    <comment ref="L31" authorId="0">
      <text>
        <r>
          <rPr>
            <sz val="10"/>
            <rFont val="Arial"/>
            <family val="2"/>
          </rPr>
          <t xml:space="preserve">Tomt = hoved-ID. Ved bend etter reduksjon oppgis lokal ID. Eget K skal referere til denne hastigheten.</t>
        </r>
      </text>
    </comment>
  </commentList>
</comments>
</file>

<file path=xl/sharedStrings.xml><?xml version="1.0" encoding="utf-8"?>
<sst xmlns="http://schemas.openxmlformats.org/spreadsheetml/2006/main" count="715" uniqueCount="422">
  <si>
    <t xml:space="preserve">TRYKKBEREGNING AV RØR</t>
  </si>
  <si>
    <t xml:space="preserve">Væsker · én rørstrekning · eksempeldata ved åpning · blå felt er inndata</t>
  </si>
  <si>
    <t xml:space="preserve">1  RØR OG MATERIALE</t>
  </si>
  <si>
    <t xml:space="preserve">RESULTAT  /  Δp</t>
  </si>
  <si>
    <t xml:space="preserve">Rørserie / dimensjonsstandard</t>
  </si>
  <si>
    <t xml:space="preserve">EN 10220 / ISO 4200</t>
  </si>
  <si>
    <t xml:space="preserve">Nødvendig trykkdifferanse  p inn − p ut</t>
  </si>
  <si>
    <t xml:space="preserve">Nominell dimensjon / metrisk OD</t>
  </si>
  <si>
    <t xml:space="preserve">DN80</t>
  </si>
  <si>
    <t xml:space="preserve">Utvendig diameter, brukt</t>
  </si>
  <si>
    <t xml:space="preserve">mm</t>
  </si>
  <si>
    <t xml:space="preserve">Egen utvendig diameter, valgfritt</t>
  </si>
  <si>
    <t xml:space="preserve">Veggtykkelse</t>
  </si>
  <si>
    <t xml:space="preserve">Tap + høydebidrag + netto hastighetsbidrag ved endene</t>
  </si>
  <si>
    <t xml:space="preserve">Egen innvendig diameter, valgfritt</t>
  </si>
  <si>
    <t xml:space="preserve">Innvendig diameter, brukt</t>
  </si>
  <si>
    <t xml:space="preserve">Dissipativt trykktap</t>
  </si>
  <si>
    <t xml:space="preserve">Materiale</t>
  </si>
  <si>
    <t xml:space="preserve">P235GH – karbonstål</t>
  </si>
  <si>
    <t xml:space="preserve">Høydebidrag, med fortegn</t>
  </si>
  <si>
    <t xml:space="preserve">EN-produktstandard</t>
  </si>
  <si>
    <t xml:space="preserve">EN 10216-2</t>
  </si>
  <si>
    <t xml:space="preserve">Referansehastighet (hoved-ID)</t>
  </si>
  <si>
    <t xml:space="preserve">Absolutt ruhet ε, brukt</t>
  </si>
  <si>
    <t xml:space="preserve">Reynolds (hoved-ID)</t>
  </si>
  <si>
    <t xml:space="preserve">Egen absolutt ruhet, valgfritt</t>
  </si>
  <si>
    <t xml:space="preserve">Regime (hoved-ID)</t>
  </si>
  <si>
    <t xml:space="preserve">Antall flensede rørkoblinger</t>
  </si>
  <si>
    <t xml:space="preserve">stk</t>
  </si>
  <si>
    <t xml:space="preserve">Darcy f (hoved-ID)</t>
  </si>
  <si>
    <t xml:space="preserve">K per flenskobling</t>
  </si>
  <si>
    <t xml:space="preserve">–</t>
  </si>
  <si>
    <t xml:space="preserve">Nødvendig trykkhøyde</t>
  </si>
  <si>
    <t xml:space="preserve">2  MEDIUM OG VOLUMSTRØM</t>
  </si>
  <si>
    <t xml:space="preserve">Beregnet utløpstrykk</t>
  </si>
  <si>
    <t xml:space="preserve">Medium / temperaturreferanse</t>
  </si>
  <si>
    <t xml:space="preserve">Vann 20 °C</t>
  </si>
  <si>
    <t xml:space="preserve">Tetthet ρ, brukt</t>
  </si>
  <si>
    <t xml:space="preserve">kg/m³</t>
  </si>
  <si>
    <t xml:space="preserve">KONTROLL AV INNDATA OG MODELL</t>
  </si>
  <si>
    <t xml:space="preserve">Dynamisk viskositet μ, brukt</t>
  </si>
  <si>
    <t xml:space="preserve">mPa·s</t>
  </si>
  <si>
    <t xml:space="preserve">Egen tetthet, valgfritt</t>
  </si>
  <si>
    <t xml:space="preserve">Egen dynamisk viskositet, valgfritt</t>
  </si>
  <si>
    <t xml:space="preserve">Volumstrøm Q</t>
  </si>
  <si>
    <t xml:space="preserve">m³/h</t>
  </si>
  <si>
    <t xml:space="preserve">Kinematisk viskositet ν, brukt</t>
  </si>
  <si>
    <t xml:space="preserve">mm²/s</t>
  </si>
  <si>
    <t xml:space="preserve">3  RØRLENGDE OG HØYDEFORSKJELL</t>
  </si>
  <si>
    <t xml:space="preserve">Rette rørmeter L, totalt</t>
  </si>
  <si>
    <t xml:space="preserve">m</t>
  </si>
  <si>
    <t xml:space="preserve">Høydemeter opp</t>
  </si>
  <si>
    <t xml:space="preserve">Høydemeter ned</t>
  </si>
  <si>
    <t xml:space="preserve">Netto høydeforskjell</t>
  </si>
  <si>
    <t xml:space="preserve">Innløpstrykk, valgfritt</t>
  </si>
  <si>
    <t xml:space="preserve">bar(g)</t>
  </si>
  <si>
    <t xml:space="preserve">Rette rør: beregningsmetode</t>
  </si>
  <si>
    <t xml:space="preserve">Hoveddimensjon</t>
  </si>
  <si>
    <t xml:space="preserve">4  LEGG TIL KOMPONENTER I EGNE FANER</t>
  </si>
  <si>
    <t xml:space="preserve">Bend, Y- og T-stykker →</t>
  </si>
  <si>
    <t xml:space="preserve">Ventiler: antall og Δp per ventil →</t>
  </si>
  <si>
    <t xml:space="preserve">Andre komponenter: antall og Δp →</t>
  </si>
  <si>
    <t xml:space="preserve">MODELL: seriell strømningsvei for Newtonsk væske. Ulike diametre: Reduksjoner/Rørstrekk. Rørstyrke: separat kontroll av indre overtrykk. Se Veiledning.</t>
  </si>
  <si>
    <t xml:space="preserve">Reduksjoner og endehastighet →</t>
  </si>
  <si>
    <t xml:space="preserve">Rette rør med flere diametre →</t>
  </si>
  <si>
    <t xml:space="preserve">Styrkeberegning og sikkerhetsfaktor →</t>
  </si>
  <si>
    <t xml:space="preserve">Fagerberg: katalog og datakilder →</t>
  </si>
  <si>
    <t xml:space="preserve">RØRSTYRKE – INDRE OVERTRYKK</t>
  </si>
  <si>
    <t xml:space="preserve">Lamé + von Mises · rett sylinder med lukkede ender · materialdata ved dimensjonerende temperatur</t>
  </si>
  <si>
    <t xml:space="preserve">INNDATA / DOKUMENTERTE VERDIER</t>
  </si>
  <si>
    <t xml:space="preserve">STYRKEKONTROLL / KUN INDRE OVERTRYKK</t>
  </si>
  <si>
    <t xml:space="preserve">Dimensjonerende overtrykk</t>
  </si>
  <si>
    <t xml:space="preserve">bar</t>
  </si>
  <si>
    <t xml:space="preserve">Ytre diameter</t>
  </si>
  <si>
    <t xml:space="preserve">Nominell / målt godstykkelse</t>
  </si>
  <si>
    <t xml:space="preserve">Negativ godstoleranse</t>
  </si>
  <si>
    <t xml:space="preserve">%</t>
  </si>
  <si>
    <t xml:space="preserve">Korrosjons-/erosjonstillegg</t>
  </si>
  <si>
    <t xml:space="preserve">Modellens trykkgrense ved valgt sikkerhetsfaktor</t>
  </si>
  <si>
    <t xml:space="preserve">Effektivt tilgjengelig gods</t>
  </si>
  <si>
    <t xml:space="preserve">Dimensjonerende temperatur</t>
  </si>
  <si>
    <t xml:space="preserve">°C</t>
  </si>
  <si>
    <t xml:space="preserve">Flytegrense Re / Rp0,2 ved T</t>
  </si>
  <si>
    <t xml:space="preserve">MPa</t>
  </si>
  <si>
    <t xml:space="preserve">Materialdata: kilde / sertifikat</t>
  </si>
  <si>
    <t xml:space="preserve">Krav til sikkerhetsfaktor n</t>
  </si>
  <si>
    <t xml:space="preserve">Von Mises-spenning</t>
  </si>
  <si>
    <t xml:space="preserve">Styrkereduksjonsfaktor η</t>
  </si>
  <si>
    <t xml:space="preserve">Tillatt spenning = ηRe / n</t>
  </si>
  <si>
    <t xml:space="preserve">Data gjelder valgt temperatur</t>
  </si>
  <si>
    <t xml:space="preserve">Nei</t>
  </si>
  <si>
    <t xml:space="preserve">Beregnet faktor mot flyt</t>
  </si>
  <si>
    <t xml:space="preserve">Utnyttelse</t>
  </si>
  <si>
    <t xml:space="preserve">Modellens minste effektive gods</t>
  </si>
  <si>
    <t xml:space="preserve">Modellens minste nominelle gods</t>
  </si>
  <si>
    <t xml:space="preserve">Ytre radius ro</t>
  </si>
  <si>
    <t xml:space="preserve">Indre radius ri, effektivt gods</t>
  </si>
  <si>
    <t xml:space="preserve">Maks ringspenning, indre overflate</t>
  </si>
  <si>
    <t xml:space="preserve">Aksialspenning, lukkede ender</t>
  </si>
  <si>
    <t xml:space="preserve">Radialspenning, indre overflate</t>
  </si>
  <si>
    <t xml:space="preserve">Ekvivalent von Mises-spenning</t>
  </si>
  <si>
    <t xml:space="preserve">Tillatt spenning</t>
  </si>
  <si>
    <t xml:space="preserve">Modellens trykkgrense</t>
  </si>
  <si>
    <t xml:space="preserve">Nødvendig effektivt gods</t>
  </si>
  <si>
    <t xml:space="preserve">Nødvendig nominelt gods</t>
  </si>
  <si>
    <t xml:space="preserve">OMFANG: lineær-elastisk, homogen rett sylinder med lukkede ender og indre overtrykk. Lamés spenninger ved indre overflate og von Mises mot dokumentert flytegrense. Dette er ikke full verifikasjon etter EN 13480: reduksjoner, flenser, bøying, termiske laster, utmatting, kryp og stabilitet ved utvendig trykk inngår ikke. Dimensjonerende overtrykk oppgis separat fra hydraulisk trykktap.</t>
  </si>
  <si>
    <t xml:space="preserve">KONSENTRISKE REDUKSJONER / EKSPANSJONER</t>
  </si>
  <si>
    <t xml:space="preserve">Registrer i strømningsrekkefølge. Én aktiv komponent per rad; «med» er 0 eller 1.</t>
  </si>
  <si>
    <t xml:space="preserve">Innløpets ID [mm]</t>
  </si>
  <si>
    <t xml:space="preserve">Utløpets ID [mm]</t>
  </si>
  <si>
    <t xml:space="preserve">Endret hastighet beregnes én gang fra faktisk innløps-ID og siste aktive utløps-ID.</t>
  </si>
  <si>
    <t xml:space="preserve">Crane-estimat for turbulent strømning, K referert til den minste diameteren. Eget K overstyrer. Rett rørfriksjon ved ulike dimensjoner legges i Rørstrekk.</t>
  </si>
  <si>
    <t xml:space="preserve">Beskrivelse</t>
  </si>
  <si>
    <t xml:space="preserve">Med 0/1</t>
  </si>
  <si>
    <t xml:space="preserve">ID inn [mm]</t>
  </si>
  <si>
    <t xml:space="preserve">ID ut [mm]</t>
  </si>
  <si>
    <t xml:space="preserve">Lengde [mm]</t>
  </si>
  <si>
    <t xml:space="preserve">Full konusvinkel [°]</t>
  </si>
  <si>
    <t xml:space="preserve">K modell</t>
  </si>
  <si>
    <t xml:space="preserve">Eget K</t>
  </si>
  <si>
    <t xml:space="preserve">Hastighet liten [m/s]</t>
  </si>
  <si>
    <t xml:space="preserve">Lokalt tap [kPa]</t>
  </si>
  <si>
    <t xml:space="preserve">Kontroll</t>
  </si>
  <si>
    <t xml:space="preserve">Datakilde / kommentar</t>
  </si>
  <si>
    <t xml:space="preserve">Konsentrisk reduksjon</t>
  </si>
  <si>
    <t xml:space="preserve">SUM IRREVERSIBELT LOKALT TAP</t>
  </si>
  <si>
    <t xml:space="preserve">Modellen gjelder en seriell strømningsvei med samme volumstrøm. Diametrene må følge hverandre i registrert rekkefølge. Lokalt K-tap er alltid positivt; hastighetsbidraget ρ(vut²−vinn²)/2 har fortegn og tas med én gang i hovedresultatet. Hoveddimensjon-modus legger alle rette meter før første reduksjon. Ved rette rør mellom/etter reduksjoner bruker du Rørstrekk-tabell. Crane er et geometrisk anslag, ikke et leverandørdatablad; dokumentert K foretrekkes. Lengde 0 representerer en skarp overgang.</t>
  </si>
  <si>
    <t xml:space="preserve">RETTE RØRSTREKK MED ULIKE DIAMETRE</t>
  </si>
  <si>
    <t xml:space="preserve">Aktiver «Rørstrekk-tabell» i hovedfanen. Da erstatter tabellen hovedfanens rette rørmeter.</t>
  </si>
  <si>
    <t xml:space="preserve">Oppgi hver rette lengde med faktisk innvendig diameter. Ruhet kan overstyres per strekk. Alle strekk bruker samme væske og volumstrøm. Bend og reduksjoners buede/koniske lengder skal ikke telles to ganger.</t>
  </si>
  <si>
    <t xml:space="preserve">Strekk</t>
  </si>
  <si>
    <t xml:space="preserve">Lengde [m]</t>
  </si>
  <si>
    <t xml:space="preserve">ID [mm]</t>
  </si>
  <si>
    <t xml:space="preserve">Egen ruhet [mm]</t>
  </si>
  <si>
    <t xml:space="preserve">Hastighet [m/s]</t>
  </si>
  <si>
    <t xml:space="preserve">Reynolds</t>
  </si>
  <si>
    <t xml:space="preserve">Darcy f</t>
  </si>
  <si>
    <t xml:space="preserve">Rørtap [kPa]</t>
  </si>
  <si>
    <t xml:space="preserve">Kommentar</t>
  </si>
  <si>
    <t xml:space="preserve">Hovedstrekk</t>
  </si>
  <si>
    <t xml:space="preserve">SUM RØRFRIKSJON – ERSTATTER HOVEDLENGDEN NÅR AKTIVERT</t>
  </si>
  <si>
    <t xml:space="preserve">Kontroller at rette lengder fordeles til riktige diametre. Tabellen summerer friksjon; reduksjonenes diameterekjede og netto endehastighet styres av Reduksjoner-fanen. En aktiv diameter som ikke forekommer i denne kjeden blir avvist, slik at feil endehastighet ikke brukes. Vertikale rette meter skal også med her; høydefeltene beregner bare hydrostatisk bidrag.</t>
  </si>
  <si>
    <t xml:space="preserve">BEND, Y-STYKKER OG T-STYKKER</t>
  </si>
  <si>
    <t xml:space="preserve">25 rader kan kombineres. Antall 0 betyr at raden ikke er med.</t>
  </si>
  <si>
    <t xml:space="preserve">Bend: velg type og vinkel. R/Di kan overstyres (tomt = 1,5 for lang radius og 1,0 for kort). Eget K overstyrer modellen.</t>
  </si>
  <si>
    <t xml:space="preserve">Y/T-stykker og egne komponenter krever dokumentert K. K må referere til hastigheten i den valgte rørstrekningen. Ingen automatisk nettverksfordeling.</t>
  </si>
  <si>
    <t xml:space="preserve">Type</t>
  </si>
  <si>
    <t xml:space="preserve">Vinkel [°]</t>
  </si>
  <si>
    <t xml:space="preserve">Antall</t>
  </si>
  <si>
    <t xml:space="preserve">Eget R/Di</t>
  </si>
  <si>
    <t xml:space="preserve">K, modell</t>
  </si>
  <si>
    <t xml:space="preserve">K, brukt</t>
  </si>
  <si>
    <t xml:space="preserve">Δp per enhet [kPa]</t>
  </si>
  <si>
    <t xml:space="preserve">Δp totalt [kPa]</t>
  </si>
  <si>
    <t xml:space="preserve">Egen lokal ID [mm]</t>
  </si>
  <si>
    <t xml:space="preserve">Bend, lang radius</t>
  </si>
  <si>
    <t xml:space="preserve">T-stykke, gjennomløp</t>
  </si>
  <si>
    <t xml:space="preserve">Y-stykke, avgrening</t>
  </si>
  <si>
    <t xml:space="preserve">Bend, kort radius</t>
  </si>
  <si>
    <t xml:space="preserve">SUM TRYKKTAP FRA BEND OG LOKALE MOTSTANDER</t>
  </si>
  <si>
    <t xml:space="preserve">Rennels-modellen er et estimat for rundede bend ved turbulent strømning. R/Di betyr bendets senterlinjeradius delt på faktisk innvendig diameter; en produsentverdi R/DN må omregnes. Modellen inkluderer friksjon i buen, så denne lengden skal ikke legges til rette rørmeter. Bruk leverandørens K ved annen geometri eller lave Reynolds-tall.</t>
  </si>
  <si>
    <t xml:space="preserve">VENTILER – MODELLVALG OG TRYKKFALL</t>
  </si>
  <si>
    <t xml:space="preserve">Trykkfall skal være oppgitt ved volumstrømmen og driftsbetingelsene i hovedfanen.</t>
  </si>
  <si>
    <t xml:space="preserve">Velg modell, antall og dokumentert Δp per enhet. Alternativt oppgis faktisk Kv, DN og åpning; kv-beregning må bekreftes for valgt væske.</t>
  </si>
  <si>
    <t xml:space="preserve">Eget Δp i kPa overstyrer Kv. Kv: Δp [kPa] = 100 · (ρ/1000) · (Q [m³/h]/Kv)². Ingen automatisk viskositets- eller kavitasjonskorreksjon.</t>
  </si>
  <si>
    <t xml:space="preserve">Ventil / komponent</t>
  </si>
  <si>
    <t xml:space="preserve">DN / størrelse</t>
  </si>
  <si>
    <t xml:space="preserve">Dokumentert Kv [m³/h]</t>
  </si>
  <si>
    <t xml:space="preserve">Åpning [%]</t>
  </si>
  <si>
    <t xml:space="preserve">Δp brukt [kPa]</t>
  </si>
  <si>
    <t xml:space="preserve">Produktlenke</t>
  </si>
  <si>
    <t xml:space="preserve">Kv-modell</t>
  </si>
  <si>
    <t xml:space="preserve">Kv verifisert?</t>
  </si>
  <si>
    <t xml:space="preserve">Kuleventil</t>
  </si>
  <si>
    <t xml:space="preserve">Reguleringsventil</t>
  </si>
  <si>
    <t xml:space="preserve">Tilbakeslagsventil</t>
  </si>
  <si>
    <t xml:space="preserve">Spjeldventil</t>
  </si>
  <si>
    <t xml:space="preserve">Sluseventil</t>
  </si>
  <si>
    <t xml:space="preserve">SUM TRYKKTAP</t>
  </si>
  <si>
    <t xml:space="preserve">Registrer hver fysisk komponent én gang. En ventil som er lagt inn med trykkfall her, skal ikke i tillegg registreres som K-motstand i Bend-fanen.</t>
  </si>
  <si>
    <t xml:space="preserve">ANDRE KOMPONENTER – TRYKKFALL</t>
  </si>
  <si>
    <t xml:space="preserve">Fyll inn antall og trykkfall PER ENHET i kPa. 1 bar = 100 kPa. Trykkfallene summeres som antall × Δp per enhet.</t>
  </si>
  <si>
    <t xml:space="preserve">Verdiene skaleres ikke automatisk når volumstrømmen endres. Oppdater dem fra leverandørdata. Antall 0 utelater raden.</t>
  </si>
  <si>
    <t xml:space="preserve">Filter</t>
  </si>
  <si>
    <t xml:space="preserve">Varmeveksler</t>
  </si>
  <si>
    <t xml:space="preserve">Mengdemåler</t>
  </si>
  <si>
    <t xml:space="preserve">Sil</t>
  </si>
  <si>
    <t xml:space="preserve">Annen komponent</t>
  </si>
  <si>
    <t xml:space="preserve">FAGERBERG NORGE – VENTILKATALOG</t>
  </si>
  <si>
    <t xml:space="preserve">Produktvalg og kilder. Kv og trykkfall må dokumenteres for aktuell DN, åpning og væske.</t>
  </si>
  <si>
    <t xml:space="preserve">KATALOG IKKE INNHENTET – nettsiden er blokkert av miljøets nettverksregler. Ingen Fagerberg-modeller er oppdiktet.</t>
  </si>
  <si>
    <t xml:space="preserve">Valg i ventilfanen</t>
  </si>
  <si>
    <t xml:space="preserve">Kategori</t>
  </si>
  <si>
    <t xml:space="preserve">Produsent / modell</t>
  </si>
  <si>
    <t xml:space="preserve">Kilde-URL</t>
  </si>
  <si>
    <t xml:space="preserve">Hentedato</t>
  </si>
  <si>
    <t xml:space="preserve">Egen ventil (dokumentert)</t>
  </si>
  <si>
    <t xml:space="preserve">Egen</t>
  </si>
  <si>
    <t xml:space="preserve">Generisk</t>
  </si>
  <si>
    <t xml:space="preserve">SLIK BRUKER DU ARKET</t>
  </si>
  <si>
    <t xml:space="preserve">Makrofri Excel-arbeidsbok · enheter og forutsetninger er en del av beregningen.</t>
  </si>
  <si>
    <t xml:space="preserve">1. Rør og materiale</t>
  </si>
  <si>
    <t xml:space="preserve">Velg rørserie, DN/OD, materiale og EN-produktstandard. Oppgi faktisk veggtykkelse. Ved kjent lysåpning kan du overstyre ID. Metrisk OD er ikke en automatisk material- eller veggserie. En svart/grå verdi er beregnet; blå felt er inndata.</t>
  </si>
  <si>
    <t xml:space="preserve">2. Væske og drift</t>
  </si>
  <si>
    <t xml:space="preserve">Velg vann ved referansetemperatur eller annet medium. Overstyr tetthet og dynamisk viskositet ved faktisk drift. Viskositeten skal være i mPa·s (cP), ikke cSt. Volumstrøm angis i m³/h. Vann er standard; arket gjelder ikke gass eller damp.</t>
  </si>
  <si>
    <t xml:space="preserve">3. Lengde og høyde</t>
  </si>
  <si>
    <t xml:space="preserve">Rette rørmeter L er samlet rett rørlengde, både horisontal og vertikal. Høydefeltene legger ikke til rørfriksjonslengde. Oppgi positive høydemeter opp og ned. Netto høyde er opp minus ned. Fall reduserer nødvendig trykkdifferanse, men ikke dissipative tap. Arket løser ikke strømning fra tilgjengelig trykk; volumstrømmen er en inndata.</t>
  </si>
  <si>
    <t xml:space="preserve">4. Bend / Y / T</t>
  </si>
  <si>
    <t xml:space="preserve">Legg hver bendtype/vinkel på egen rad. R/Di er faktisk senterlinjeradius delt på innvendig diameter, ikke R/DN. Rundede bend bruker Rennels ved Re&gt;=4000; eget K overstyrer. Y/T og annen geometri krever eget dokumentert K, fordi fordeling og strømningsvei påvirker motstanden. Maksimalt 25 rader.</t>
  </si>
  <si>
    <t xml:space="preserve">Flensede rørkoblinger</t>
  </si>
  <si>
    <t xml:space="preserve">I hovedfanen angis antall flensepar med pakning og K per kobling. K=0 forutsetter ideell full lysåpning uten innsnevring eller utstikkende pakning; flensen i seg selv gir da ikke et separat lokalt tap. Bruk dokumentert K ved avvik, eller registrer dokumentert trykkfall i Komponenter uten dobbelttelling. Flensens EN-standard/trykklasse, f.eks. EN 1092-1, inngår ikke i den hydrauliske beregningen.</t>
  </si>
  <si>
    <t xml:space="preserve">5. Ventiler og komponenter</t>
  </si>
  <si>
    <t xml:space="preserve">Velg antall og trykkfall per enhet i kPa i hver tabell. Trykkfall multipliseres med antall. Verdien skal gjelde den valgte volumstrømmen og åpningen/driftsbetingelsen. Den endres ikke automatisk med volumstrøm. Registrer ikke samme komponent også som K. Maksimalt 25 rader per tabell.</t>
  </si>
  <si>
    <t xml:space="preserve">6. Resultater</t>
  </si>
  <si>
    <t xml:space="preserve">Nødvendig trykkdifferanse = alle irreversible tap + ρgΔz + ρ(vut²−vinn²)/2. Negativ verdi beholdes. Valgfritt innløpstrykk gir utløpstrykk. Diametre ved endene styres av reduksjonskjeden. Kontrollfeltet må vise OK; ved ugyldige aktive rader blir totalresultatet tomt. Grafetiketter bruker utsiden av stolpeenden og følger positiv/negativ retning.</t>
  </si>
  <si>
    <t xml:space="preserve">7. Modellgrenser</t>
  </si>
  <si>
    <t xml:space="preserve">Stasjonær, enfaset, Newtonsk og inkompressibel væske; seriell strømningsvei med samme volumstrøm; fullt utviklet rørstrømning. Re&lt;2300 bruker 64/Re, Re&gt;=4000 Colebrook. Overgangsområdet blokkeres. Lokale diametre i Bend kan oppgis etter reduksjoner. Ved lave lokale Re kreves eget K. Ingen kavitasjons-, transient-, pumpekurve- eller nettverksberegning.</t>
  </si>
  <si>
    <t xml:space="preserve">8. Normer og datakvalitet</t>
  </si>
  <si>
    <t xml:space="preserve">EN/ISO-valgene er normreferanser og et begrenset dimensjonsutvalg, ikke samsvarsgodkjenning. Ruhet er et startanslag, ikke en materialgaranti. Rørstyrke er en separat idealisert trykkontroll med dokumentert flytegrense; den er ikke full prosjektering/verifikasjon iht. EN 13480. Verifiser faktisk geometri og produktdata.</t>
  </si>
  <si>
    <t xml:space="preserve">Rørstyrke og sikkerhetsfaktor</t>
  </si>
  <si>
    <t xml:space="preserve">Dimensjonerende overtrykk må oppgis separat, ikke hentes fra hydraulisk Δp. Effektivt gods = nominelt gods × (1 − negativ toleranse/100) − korrosjonstillegg. Oppgi og bekreft flytegrense ved riktig temperatur og kilde. Lamé med lukkede ender og von Mises gir trykkspenning; tillatt spenning = ηRe/n. Utnyttelse &lt;=1 gjelder bare denne idealiserte trykkmodellen. Sikkerhetsmargin mot flyt er ikke en brudd- eller trykkprøveberegning.</t>
  </si>
  <si>
    <t xml:space="preserve">Reduksjoner og rørstrekk</t>
  </si>
  <si>
    <t xml:space="preserve">Oppgi reduksjoner/ekspansjoner i rekkefølge, én per aktiv rad, med faktisk ID før/etter og aksial lengde. K refererer til liten diameter. Lokalt tap = Kρvliten²/2; hastighetsbidrag beregnes én gang ved endene. Crane: reduksjon K=0,8 sin(θ/2)(1−β²) ved θ&lt;45°, ellers 0,5√sin(θ/2)(1−β²). Ekspansjon K=2,6 sin(θ/2)(1−β²)² ved θ&lt;45°, ellers (1−β²)². β=Dliten/Dstor; θ full konusvinkel. Eget K overstyrer. Kilder: Crane TP410 og fluids.fittings.</t>
  </si>
  <si>
    <t xml:space="preserve">Ventilkatalog og Kv</t>
  </si>
  <si>
    <t xml:space="preserve">Velg modell fra Ventilkatalog. Katalogen viser faktisk importstatus og kilde-URL, og inneholder ingen oppdiktede leverandørmodeller. Δp per ventil kan oppgis direkte. Alternativt brukes dokumentert Kv ved angitt DN og åpning: Δp[kPa]=100(ρ/1000)(Q/Kv)². Kv-metoden må bekreftes for væske/viskositet og åpning; ingen automatisk korreksjon for laminar strømning, kavitasjon eller choking.</t>
  </si>
  <si>
    <t xml:space="preserve">Darcy–Weisbach / Colebrook</t>
  </si>
  <si>
    <t xml:space="preserve">Δp_rør = f(L/D)ρv²/2; Re=ρvD/μ; v=4Q/(πD²). Turbulent: 1/√f = −2 log10(ε/(3,7D)+2,51/(Re√f)). Seks iterasjoner fra Haaland. Laminært: f=64/Re. g=9,80665 m/s². Colebrook, C. F. (1939), Turbulent Flow in Pipes, with Particular Reference to the Transition Region between the Smooth and Rough Pipe Laws.</t>
  </si>
  <si>
    <t xml:space="preserve">Rennels, rundet bend</t>
  </si>
  <si>
    <t xml:space="preserve">α i radianer, r=R/Di: K=fαr+(0,10+2,4f)sin(α/2)+6,6f[√sin(α/2)+sin(α/2)]/r^(4α/π). Modellen inkluderer friksjon i den buede rørlengden. Rennels &amp; Hudson, Pipe Flow: A Practical and Comprehensive Guide, Wiley (2012). Koden er kontrollert mot den offentlig dokumenterte implementasjonen i fluids.fittings.bend_rounded.</t>
  </si>
  <si>
    <t xml:space="preserve">Referanser / etterprøving</t>
  </si>
  <si>
    <t xml:space="preserve">Normreferanser: EN 10220, ISO 4200, ISO 1127; relevante deler av EN 10216 og EN 10217; EN 10088-1 for rustfrie materialbetegnelser. Vann: avrundede standard tabellverdier (IAPWS); ISO VG 32: nominell viskositetsklasse iht. ISO 3448. Oppslagsarkene viser alle verdier brukt; testskriptet kontrollerer også uavhengig Colebrook-løsning og laminær Poiseuille.</t>
  </si>
  <si>
    <t xml:space="preserve">Dokumentert referanseimplementasjon: fluids / fittings.py</t>
  </si>
  <si>
    <t xml:space="preserve">RØRSERIER OG DIMENSJONER</t>
  </si>
  <si>
    <t xml:space="preserve">Utvalg vanlige ytre diametre. DN er nominelt; innvendig diameter krever veggtykkelse eller egen verdi.</t>
  </si>
  <si>
    <t xml:space="preserve">Oppslagsnøkkel</t>
  </si>
  <si>
    <t xml:space="preserve">Rørserie</t>
  </si>
  <si>
    <t xml:space="preserve">DN / OD</t>
  </si>
  <si>
    <t xml:space="preserve">Ytre diameter [mm]</t>
  </si>
  <si>
    <t xml:space="preserve">Merknad / normreferanse</t>
  </si>
  <si>
    <t xml:space="preserve">EN 10220 / ISO 4200|DN15</t>
  </si>
  <si>
    <t xml:space="preserve">DN15</t>
  </si>
  <si>
    <t xml:space="preserve">Vanlig OD-utvalg, ikke komplett normtabell. Kontroller mot rørsertifikat og aktuell normutgave.</t>
  </si>
  <si>
    <t xml:space="preserve">EN 10220 / ISO 4200|DN20</t>
  </si>
  <si>
    <t xml:space="preserve">DN20</t>
  </si>
  <si>
    <t xml:space="preserve">EN 10220 / ISO 4200|DN25</t>
  </si>
  <si>
    <t xml:space="preserve">DN25</t>
  </si>
  <si>
    <t xml:space="preserve">EN 10220 / ISO 4200|DN32</t>
  </si>
  <si>
    <t xml:space="preserve">DN32</t>
  </si>
  <si>
    <t xml:space="preserve">EN 10220 / ISO 4200|DN40</t>
  </si>
  <si>
    <t xml:space="preserve">DN40</t>
  </si>
  <si>
    <t xml:space="preserve">EN 10220 / ISO 4200|DN50</t>
  </si>
  <si>
    <t xml:space="preserve">DN50</t>
  </si>
  <si>
    <t xml:space="preserve">EN 10220 / ISO 4200|DN65</t>
  </si>
  <si>
    <t xml:space="preserve">DN65</t>
  </si>
  <si>
    <t xml:space="preserve">EN 10220 / ISO 4200|DN80</t>
  </si>
  <si>
    <t xml:space="preserve">EN 10220 / ISO 4200|DN100</t>
  </si>
  <si>
    <t xml:space="preserve">DN100</t>
  </si>
  <si>
    <t xml:space="preserve">EN 10220 / ISO 4200|DN125</t>
  </si>
  <si>
    <t xml:space="preserve">DN125</t>
  </si>
  <si>
    <t xml:space="preserve">EN 10220 / ISO 4200|DN150</t>
  </si>
  <si>
    <t xml:space="preserve">DN150</t>
  </si>
  <si>
    <t xml:space="preserve">EN 10220 / ISO 4200|DN200</t>
  </si>
  <si>
    <t xml:space="preserve">DN200</t>
  </si>
  <si>
    <t xml:space="preserve">EN 10220 / ISO 4200|DN250</t>
  </si>
  <si>
    <t xml:space="preserve">DN250</t>
  </si>
  <si>
    <t xml:space="preserve">EN 10220 / ISO 4200|DN300</t>
  </si>
  <si>
    <t xml:space="preserve">DN300</t>
  </si>
  <si>
    <t xml:space="preserve">ISO 1127|DN15</t>
  </si>
  <si>
    <t xml:space="preserve">ISO 1127</t>
  </si>
  <si>
    <t xml:space="preserve">ISO 1127|DN20</t>
  </si>
  <si>
    <t xml:space="preserve">ISO 1127|DN25</t>
  </si>
  <si>
    <t xml:space="preserve">ISO 1127|DN32</t>
  </si>
  <si>
    <t xml:space="preserve">ISO 1127|DN40</t>
  </si>
  <si>
    <t xml:space="preserve">ISO 1127|DN50</t>
  </si>
  <si>
    <t xml:space="preserve">ISO 1127|DN65</t>
  </si>
  <si>
    <t xml:space="preserve">ISO 1127|DN80</t>
  </si>
  <si>
    <t xml:space="preserve">ISO 1127|DN100</t>
  </si>
  <si>
    <t xml:space="preserve">ISO 1127|DN125</t>
  </si>
  <si>
    <t xml:space="preserve">ISO 1127|DN150</t>
  </si>
  <si>
    <t xml:space="preserve">ISO 1127|DN200</t>
  </si>
  <si>
    <t xml:space="preserve">ISO 1127|DN250</t>
  </si>
  <si>
    <t xml:space="preserve">ISO 1127|DN300</t>
  </si>
  <si>
    <t xml:space="preserve">Metrisk OD|OD20</t>
  </si>
  <si>
    <t xml:space="preserve">Metrisk OD</t>
  </si>
  <si>
    <t xml:space="preserve">OD20</t>
  </si>
  <si>
    <t xml:space="preserve">Metrisk OD-valg i mm; ingen produktstandard eller veggserie er implisert.</t>
  </si>
  <si>
    <t xml:space="preserve">Metrisk OD|OD25</t>
  </si>
  <si>
    <t xml:space="preserve">OD25</t>
  </si>
  <si>
    <t xml:space="preserve">Metrisk OD|OD32</t>
  </si>
  <si>
    <t xml:space="preserve">OD32</t>
  </si>
  <si>
    <t xml:space="preserve">Metrisk OD|OD40</t>
  </si>
  <si>
    <t xml:space="preserve">OD40</t>
  </si>
  <si>
    <t xml:space="preserve">Metrisk OD|OD50</t>
  </si>
  <si>
    <t xml:space="preserve">OD50</t>
  </si>
  <si>
    <t xml:space="preserve">Metrisk OD|OD63</t>
  </si>
  <si>
    <t xml:space="preserve">OD63</t>
  </si>
  <si>
    <t xml:space="preserve">Metrisk OD|OD75</t>
  </si>
  <si>
    <t xml:space="preserve">OD75</t>
  </si>
  <si>
    <t xml:space="preserve">Metrisk OD|OD90</t>
  </si>
  <si>
    <t xml:space="preserve">OD90</t>
  </si>
  <si>
    <t xml:space="preserve">Metrisk OD|OD110</t>
  </si>
  <si>
    <t xml:space="preserve">OD110</t>
  </si>
  <si>
    <t xml:space="preserve">Metrisk OD|OD125</t>
  </si>
  <si>
    <t xml:space="preserve">OD125</t>
  </si>
  <si>
    <t xml:space="preserve">Metrisk OD|OD140</t>
  </si>
  <si>
    <t xml:space="preserve">OD140</t>
  </si>
  <si>
    <t xml:space="preserve">Metrisk OD|OD160</t>
  </si>
  <si>
    <t xml:space="preserve">OD160</t>
  </si>
  <si>
    <t xml:space="preserve">Metrisk OD|OD180</t>
  </si>
  <si>
    <t xml:space="preserve">OD180</t>
  </si>
  <si>
    <t xml:space="preserve">Metrisk OD|OD200</t>
  </si>
  <si>
    <t xml:space="preserve">OD200</t>
  </si>
  <si>
    <t xml:space="preserve">Metrisk OD|OD225</t>
  </si>
  <si>
    <t xml:space="preserve">OD225</t>
  </si>
  <si>
    <t xml:space="preserve">Metrisk OD|OD250</t>
  </si>
  <si>
    <t xml:space="preserve">OD250</t>
  </si>
  <si>
    <t xml:space="preserve">Metrisk OD|OD280</t>
  </si>
  <si>
    <t xml:space="preserve">OD280</t>
  </si>
  <si>
    <t xml:space="preserve">Metrisk OD|OD315</t>
  </si>
  <si>
    <t xml:space="preserve">OD315</t>
  </si>
  <si>
    <t xml:space="preserve">MATERIALER OG EN-PRODUKTSTANDARDER</t>
  </si>
  <si>
    <t xml:space="preserve">Produktstandard velges separat. Ingen beregning av tillatt arbeidstrykk, spenninger eller godstykkelse.</t>
  </si>
  <si>
    <t xml:space="preserve">Materialvalg</t>
  </si>
  <si>
    <t xml:space="preserve">Materialbetegnelse</t>
  </si>
  <si>
    <t xml:space="preserve">Ruhet, startanslag [mm]</t>
  </si>
  <si>
    <t xml:space="preserve">Tillatte valg i denne malen</t>
  </si>
  <si>
    <t xml:space="preserve">P235GH</t>
  </si>
  <si>
    <t xml:space="preserve">|EN 10216-2|EN 10217-2|EN 10217-5|</t>
  </si>
  <si>
    <t xml:space="preserve">Sømløst/sveiset trykkrør for forhøyet temperatur.</t>
  </si>
  <si>
    <t xml:space="preserve">P265GH – karbonstål</t>
  </si>
  <si>
    <t xml:space="preserve">P265GH</t>
  </si>
  <si>
    <t xml:space="preserve">P235TR2 – karbonstål</t>
  </si>
  <si>
    <t xml:space="preserve">P235TR2</t>
  </si>
  <si>
    <t xml:space="preserve">|EN 10216-1|EN 10217-1|</t>
  </si>
  <si>
    <t xml:space="preserve">Trykkrør med spesifiserte egenskaper ved romtemperatur.</t>
  </si>
  <si>
    <t xml:space="preserve">1.4307 / 304L – rustfritt</t>
  </si>
  <si>
    <t xml:space="preserve">X2CrNi18-9 / 1.4307</t>
  </si>
  <si>
    <t xml:space="preserve">|EN 10216-5|EN 10217-7|</t>
  </si>
  <si>
    <t xml:space="preserve">Austenittisk rustfritt trykkrør; EN 10088-1 materialbetegnelse.</t>
  </si>
  <si>
    <t xml:space="preserve">1.4404 / 316L – rustfritt</t>
  </si>
  <si>
    <t xml:space="preserve">X2CrNiMo17-12-2 / 1.4404</t>
  </si>
  <si>
    <t xml:space="preserve">1.4462 / 2205 – duplex</t>
  </si>
  <si>
    <t xml:space="preserve">X2CrNiMoN22-5-3 / 1.4462</t>
  </si>
  <si>
    <t xml:space="preserve">Duplex trykkrør; EN 10088-1 materialbetegnelse.</t>
  </si>
  <si>
    <t xml:space="preserve">Ruhet er et generelt startanslag, ikke en egenskap garantert av EN-standarden. Overstyr med dokumentert ruhet for faktisk overflate, sveiser, belegg og aldring.</t>
  </si>
  <si>
    <t xml:space="preserve">EN 10216: sømløse trykkrør. EN 10217: sveisede trykkrør. Relevant del og materialkvalitet må bekreftes mot leverandørens dokumentasjon. «Annen / dokumentert» tillater et særskilt dokumentert valg.</t>
  </si>
  <si>
    <t xml:space="preserve">MEDIER OG REFERANSEVERDIER</t>
  </si>
  <si>
    <t xml:space="preserve">Tetthet og dynamisk viskositet ved angitt temperatur; overstyr ved faktisk driftsbetingelse.</t>
  </si>
  <si>
    <t xml:space="preserve">Medium</t>
  </si>
  <si>
    <t xml:space="preserve">Tetthet [kg/m³]</t>
  </si>
  <si>
    <t xml:space="preserve">Dynamisk viskositet [mPa·s]</t>
  </si>
  <si>
    <t xml:space="preserve">Betingelser / merknad</t>
  </si>
  <si>
    <t xml:space="preserve">Vann 5 °C</t>
  </si>
  <si>
    <t xml:space="preserve">Omtrentlige verdier ved atmosfæretrykk.</t>
  </si>
  <si>
    <t xml:space="preserve">Vann 40 °C</t>
  </si>
  <si>
    <t xml:space="preserve">Vann 60 °C</t>
  </si>
  <si>
    <t xml:space="preserve">Vann 80 °C</t>
  </si>
  <si>
    <t xml:space="preserve">Olje ISO VG 32, 40 °C</t>
  </si>
  <si>
    <t xml:space="preserve">Nominell ν=32 mm²/s; antatt ρ=850 kg/m³. Bruk leverandørdata.</t>
  </si>
  <si>
    <t xml:space="preserve">Eget medium</t>
  </si>
  <si>
    <t xml:space="preserve">Begge egenskaper må fylles inn i feltene for egne verdier.</t>
  </si>
  <si>
    <t xml:space="preserve">Vannverdiene er avrundede referanseverdier i tråd med vanlige tabeller basert på IAPWS. De er ikke en implementasjon av temperatur- og trykkavhengige tilstandsligninger. VG 32 angir nominell kinematisk viskositet ved 40 °C, ikke en universell oljeegenskap.</t>
  </si>
  <si>
    <t xml:space="preserve">BEREGNINGSGRUNNLAG</t>
  </si>
  <si>
    <t xml:space="preserve">Kontroll av grunninndata</t>
  </si>
  <si>
    <t xml:space="preserve">Samlet beregningsstatus</t>
  </si>
  <si>
    <t xml:space="preserve">Tyngdeakselerasjon g</t>
  </si>
  <si>
    <t xml:space="preserve">m/s²</t>
  </si>
  <si>
    <t xml:space="preserve">m³/s</t>
  </si>
  <si>
    <t xml:space="preserve">Innvendig diameter D</t>
  </si>
  <si>
    <t xml:space="preserve">Dynamisk viskositet μ</t>
  </si>
  <si>
    <t xml:space="preserve">Pa·s</t>
  </si>
  <si>
    <t xml:space="preserve">Tetthet ρ</t>
  </si>
  <si>
    <t xml:space="preserve">Absolutt ruhet ε</t>
  </si>
  <si>
    <t xml:space="preserve">Tverrsnittsareal A</t>
  </si>
  <si>
    <t xml:space="preserve">m²</t>
  </si>
  <si>
    <t xml:space="preserve">Gjennomsnittshastighet v</t>
  </si>
  <si>
    <t xml:space="preserve">m/s</t>
  </si>
  <si>
    <t xml:space="preserve">Reynolds-tall</t>
  </si>
  <si>
    <t xml:space="preserve">Relativ ruhet ε/D</t>
  </si>
  <si>
    <t xml:space="preserve">Startverdi f (Haaland / 64/Re)</t>
  </si>
  <si>
    <t xml:space="preserve">Colebrook-iterasjon 1</t>
  </si>
  <si>
    <t xml:space="preserve">Colebrook-iterasjon 2</t>
  </si>
  <si>
    <t xml:space="preserve">Colebrook-iterasjon 3</t>
  </si>
  <si>
    <t xml:space="preserve">Colebrook-iterasjon 4</t>
  </si>
  <si>
    <t xml:space="preserve">Colebrook-iterasjon 5</t>
  </si>
  <si>
    <t xml:space="preserve">Colebrook-iterasjon 6</t>
  </si>
  <si>
    <t xml:space="preserve">Darcy friksjonsfaktor f</t>
  </si>
  <si>
    <t xml:space="preserve">Strømningsregime</t>
  </si>
  <si>
    <t xml:space="preserve">Dynamisk trykk ρv²/2</t>
  </si>
  <si>
    <t xml:space="preserve">Pa</t>
  </si>
  <si>
    <t xml:space="preserve">Rørfriksjon</t>
  </si>
  <si>
    <t xml:space="preserve">Bidrag</t>
  </si>
  <si>
    <t xml:space="preserve">Bend og lokale K-motstander</t>
  </si>
  <si>
    <t xml:space="preserve">Ventiler</t>
  </si>
  <si>
    <t xml:space="preserve">Andre komponenter</t>
  </si>
  <si>
    <t xml:space="preserve">Flensede koblinger</t>
  </si>
  <si>
    <t xml:space="preserve">Reduksjoner: irreversibelt tap</t>
  </si>
  <si>
    <t xml:space="preserve">Statisk høydebidrag</t>
  </si>
  <si>
    <t xml:space="preserve">Nødvendig trykkdifferanse</t>
  </si>
  <si>
    <t xml:space="preserve">Colebrook-residual</t>
  </si>
  <si>
    <t xml:space="preserve">Hastighetsbidrag ved endene</t>
  </si>
  <si>
    <t xml:space="preserve">Rorserier</t>
  </si>
  <si>
    <t xml:space="preserve">NominelleDN</t>
  </si>
  <si>
    <t xml:space="preserve">MetriskeOD</t>
  </si>
  <si>
    <t xml:space="preserve">ENStandarder</t>
  </si>
  <si>
    <t xml:space="preserve">Medievalg</t>
  </si>
  <si>
    <t xml:space="preserve">Bendtyper</t>
  </si>
  <si>
    <t xml:space="preserve">EN 10216-1</t>
  </si>
  <si>
    <t xml:space="preserve">Rennels: rundet bend. Startanslag R/Di=1,5; oppgi faktisk radiusforhold.</t>
  </si>
  <si>
    <t xml:space="preserve">EN 10217-1</t>
  </si>
  <si>
    <t xml:space="preserve">Rennels: rundet bend. Startanslag R/Di=1,0; oppgi faktisk radiusforhold.</t>
  </si>
  <si>
    <t xml:space="preserve">Y-stykke, gjennomløp</t>
  </si>
  <si>
    <t xml:space="preserve">Oppgi dokumentert K for valgt strømningsvei og fordeling.</t>
  </si>
  <si>
    <t xml:space="preserve">EN 10217-2</t>
  </si>
  <si>
    <t xml:space="preserve">EN 10217-5</t>
  </si>
  <si>
    <t xml:space="preserve">EN 10216-5</t>
  </si>
  <si>
    <t xml:space="preserve">T-stykke, avgrening</t>
  </si>
  <si>
    <t xml:space="preserve">EN 10217-7</t>
  </si>
  <si>
    <t xml:space="preserve">Egen komponent</t>
  </si>
  <si>
    <t xml:space="preserve">Oppgi eget K med referanse til hastigheten i denne rørstrekningen.</t>
  </si>
  <si>
    <t xml:space="preserve">Annen / dokumentert</t>
  </si>
  <si>
    <t xml:space="preserve">Egendefinert</t>
  </si>
</sst>
</file>

<file path=xl/styles.xml><?xml version="1.0" encoding="utf-8"?>
<styleSheet xmlns="http://schemas.openxmlformats.org/spreadsheetml/2006/main">
  <numFmts count="19">
    <numFmt numFmtId="164" formatCode="General"/>
    <numFmt numFmtId="165" formatCode="0.000&quot; bar&quot;"/>
    <numFmt numFmtId="166" formatCode="0.00"/>
    <numFmt numFmtId="167" formatCode="0.000&quot; m/s&quot;"/>
    <numFmt numFmtId="168" formatCode="0.000"/>
    <numFmt numFmtId="169" formatCode="#,##0"/>
    <numFmt numFmtId="170" formatCode="0"/>
    <numFmt numFmtId="171" formatCode="0.00000"/>
    <numFmt numFmtId="172" formatCode="0.000&quot; m væskesøyle&quot;"/>
    <numFmt numFmtId="173" formatCode="0.000&quot; bar(g)&quot;"/>
    <numFmt numFmtId="174" formatCode="0.000&quot; bar&quot;;\-0.000&quot; bar&quot;;&quot;&quot;"/>
    <numFmt numFmtId="175" formatCode="0.00&quot; bar&quot;"/>
    <numFmt numFmtId="176" formatCode="0.000&quot; MPa&quot;"/>
    <numFmt numFmtId="177" formatCode="0.0%"/>
    <numFmt numFmtId="178" formatCode="0.000&quot; mm&quot;"/>
    <numFmt numFmtId="179" formatCode="0.000000"/>
    <numFmt numFmtId="180" formatCode="0.000&quot; kPa&quot;"/>
    <numFmt numFmtId="181" formatCode="0.0000"/>
    <numFmt numFmtId="182" formatCode="0.0"/>
  </numFmts>
  <fonts count="22">
    <font>
      <sz val="11"/>
      <color theme="1"/>
      <name val="Calibri"/>
      <family val="2"/>
      <charset val="1"/>
    </font>
    <font>
      <sz val="10"/>
      <name val="Arial"/>
      <family val="0"/>
    </font>
    <font>
      <sz val="10"/>
      <name val="Arial"/>
      <family val="0"/>
    </font>
    <font>
      <sz val="10"/>
      <name val="Arial"/>
      <family val="0"/>
    </font>
    <font>
      <b val="true"/>
      <sz val="22"/>
      <color rgb="FFFFFFFF"/>
      <name val="Calibri"/>
      <family val="0"/>
      <charset val="1"/>
    </font>
    <font>
      <sz val="10"/>
      <color rgb="FF617589"/>
      <name val="Calibri"/>
      <family val="0"/>
      <charset val="1"/>
    </font>
    <font>
      <b val="true"/>
      <sz val="12"/>
      <color rgb="FFFFFFFF"/>
      <name val="Calibri"/>
      <family val="0"/>
      <charset val="1"/>
    </font>
    <font>
      <sz val="10"/>
      <color rgb="FF20354C"/>
      <name val="Calibri"/>
      <family val="0"/>
      <charset val="1"/>
    </font>
    <font>
      <sz val="11"/>
      <color rgb="FF086AA5"/>
      <name val="Calibri"/>
      <family val="0"/>
      <charset val="1"/>
    </font>
    <font>
      <sz val="11"/>
      <color rgb="FF617589"/>
      <name val="Calibri"/>
      <family val="0"/>
      <charset val="1"/>
    </font>
    <font>
      <b val="true"/>
      <sz val="30"/>
      <color rgb="FFFFFFFF"/>
      <name val="Calibri"/>
      <family val="0"/>
      <charset val="1"/>
    </font>
    <font>
      <sz val="11"/>
      <color rgb="FF20354C"/>
      <name val="Calibri"/>
      <family val="0"/>
      <charset val="1"/>
    </font>
    <font>
      <b val="true"/>
      <sz val="11"/>
      <color rgb="FF20354C"/>
      <name val="Calibri"/>
      <family val="0"/>
      <charset val="1"/>
    </font>
    <font>
      <b val="true"/>
      <sz val="11"/>
      <color rgb="FFFFFFFF"/>
      <name val="Calibri"/>
      <family val="0"/>
      <charset val="1"/>
    </font>
    <font>
      <b val="true"/>
      <sz val="11"/>
      <color rgb="FF086AA5"/>
      <name val="Calibri"/>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
      <b val="true"/>
      <sz val="27"/>
      <color rgb="FFFFFFFF"/>
      <name val="Calibri"/>
      <family val="0"/>
      <charset val="1"/>
    </font>
    <font>
      <u val="single"/>
      <sz val="11"/>
      <color rgb="FF086AA5"/>
      <name val="Cambria"/>
      <family val="0"/>
      <charset val="1"/>
    </font>
    <font>
      <b val="true"/>
      <sz val="20"/>
      <color rgb="FFFFFFFF"/>
      <name val="Calibri"/>
      <family val="0"/>
      <charset val="1"/>
    </font>
  </fonts>
  <fills count="8">
    <fill>
      <patternFill patternType="none"/>
    </fill>
    <fill>
      <patternFill patternType="gray125"/>
    </fill>
    <fill>
      <patternFill patternType="solid">
        <fgColor rgb="FF142D4E"/>
        <bgColor rgb="FF20354C"/>
      </patternFill>
    </fill>
    <fill>
      <patternFill patternType="solid">
        <fgColor rgb="FF087F8C"/>
        <bgColor rgb="FF008080"/>
      </patternFill>
    </fill>
    <fill>
      <patternFill patternType="solid">
        <fgColor rgb="FFE5F2FF"/>
        <bgColor rgb="FFE1F3EB"/>
      </patternFill>
    </fill>
    <fill>
      <patternFill patternType="solid">
        <fgColor rgb="FFF1F5F9"/>
        <bgColor rgb="FFF9F9F9"/>
      </patternFill>
    </fill>
    <fill>
      <patternFill patternType="solid">
        <fgColor rgb="FFE1F3EB"/>
        <bgColor rgb="FFE5F2FF"/>
      </patternFill>
    </fill>
    <fill>
      <patternFill patternType="solid">
        <fgColor rgb="FFFFF0CE"/>
        <bgColor rgb="FFFFE5E5"/>
      </patternFill>
    </fill>
  </fills>
  <borders count="2">
    <border diagonalUp="false" diagonalDown="false">
      <left/>
      <right/>
      <top/>
      <bottom/>
      <diagonal/>
    </border>
    <border diagonalUp="false" diagonalDown="false">
      <left/>
      <right/>
      <top/>
      <bottom style="thin">
        <color rgb="FFD6E1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3"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true">
      <alignment horizontal="general" vertical="center" textRotation="0" wrapText="true" indent="0" shrinkToFit="false"/>
      <protection locked="false" hidden="false"/>
    </xf>
    <xf numFmtId="164" fontId="9" fillId="0" borderId="0" xfId="0" applyFont="true" applyBorder="true" applyAlignment="true" applyProtection="false">
      <alignment horizontal="general" vertical="center" textRotation="0" wrapText="true" indent="0" shrinkToFit="false"/>
      <protection locked="true" hidden="false"/>
    </xf>
    <xf numFmtId="165" fontId="10" fillId="3" borderId="0"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general" vertical="center" textRotation="0" wrapText="true" indent="0" shrinkToFit="false"/>
      <protection locked="true" hidden="false"/>
    </xf>
    <xf numFmtId="164" fontId="11" fillId="5" borderId="1" xfId="0" applyFont="true" applyBorder="true" applyAlignment="true" applyProtection="false">
      <alignment horizontal="general" vertical="center" textRotation="0" wrapText="false" indent="1" shrinkToFit="false"/>
      <protection locked="true" hidden="false"/>
    </xf>
    <xf numFmtId="166" fontId="8" fillId="4" borderId="1" xfId="0" applyFont="true" applyBorder="true" applyAlignment="true" applyProtection="true">
      <alignment horizontal="general" vertical="center" textRotation="0" wrapText="true" indent="0" shrinkToFit="false"/>
      <protection locked="false" hidden="false"/>
    </xf>
    <xf numFmtId="165" fontId="12" fillId="5" borderId="0" xfId="0" applyFont="true" applyBorder="true" applyAlignment="true" applyProtection="false">
      <alignment horizontal="general" vertical="center" textRotation="0" wrapText="true" indent="0" shrinkToFit="false"/>
      <protection locked="true" hidden="false"/>
    </xf>
    <xf numFmtId="167" fontId="12" fillId="5" borderId="0" xfId="0" applyFont="true" applyBorder="true" applyAlignment="true" applyProtection="false">
      <alignment horizontal="general" vertical="center" textRotation="0" wrapText="true" indent="0" shrinkToFit="false"/>
      <protection locked="true" hidden="false"/>
    </xf>
    <xf numFmtId="168" fontId="11" fillId="5" borderId="1" xfId="0" applyFont="true" applyBorder="true" applyAlignment="true" applyProtection="false">
      <alignment horizontal="general" vertical="center" textRotation="0" wrapText="true" indent="0" shrinkToFit="false"/>
      <protection locked="true" hidden="false"/>
    </xf>
    <xf numFmtId="169" fontId="12" fillId="5" borderId="0" xfId="0" applyFont="true" applyBorder="true" applyAlignment="true" applyProtection="false">
      <alignment horizontal="general" vertical="center" textRotation="0" wrapText="true" indent="0" shrinkToFit="false"/>
      <protection locked="true" hidden="false"/>
    </xf>
    <xf numFmtId="168" fontId="8" fillId="4" borderId="1" xfId="0" applyFont="true" applyBorder="true" applyAlignment="true" applyProtection="true">
      <alignment horizontal="general" vertical="center" textRotation="0" wrapText="true" indent="0" shrinkToFit="false"/>
      <protection locked="false" hidden="false"/>
    </xf>
    <xf numFmtId="164" fontId="12" fillId="5" borderId="0" xfId="0" applyFont="true" applyBorder="true" applyAlignment="true" applyProtection="false">
      <alignment horizontal="general" vertical="center" textRotation="0" wrapText="true" indent="0" shrinkToFit="false"/>
      <protection locked="true" hidden="false"/>
    </xf>
    <xf numFmtId="170" fontId="8" fillId="4" borderId="1" xfId="0" applyFont="true" applyBorder="true" applyAlignment="true" applyProtection="true">
      <alignment horizontal="general" vertical="center" textRotation="0" wrapText="true" indent="0" shrinkToFit="false"/>
      <protection locked="false" hidden="false"/>
    </xf>
    <xf numFmtId="171" fontId="12" fillId="5" borderId="0" xfId="0" applyFont="true" applyBorder="true" applyAlignment="true" applyProtection="false">
      <alignment horizontal="general" vertical="center" textRotation="0" wrapText="true" indent="0" shrinkToFit="false"/>
      <protection locked="true" hidden="false"/>
    </xf>
    <xf numFmtId="172" fontId="12" fillId="5" borderId="0" xfId="0" applyFont="true" applyBorder="true" applyAlignment="true" applyProtection="false">
      <alignment horizontal="general" vertical="center" textRotation="0" wrapText="true" indent="0" shrinkToFit="false"/>
      <protection locked="true" hidden="false"/>
    </xf>
    <xf numFmtId="173" fontId="12" fillId="5" borderId="0" xfId="0" applyFont="true" applyBorder="true" applyAlignment="true" applyProtection="false">
      <alignment horizontal="general" vertical="center" textRotation="0" wrapText="true" indent="0" shrinkToFit="false"/>
      <protection locked="true" hidden="false"/>
    </xf>
    <xf numFmtId="164" fontId="13" fillId="2" borderId="0" xfId="0" applyFont="true" applyBorder="true" applyAlignment="true" applyProtection="false">
      <alignment horizontal="general" vertical="center" textRotation="0" wrapText="true" indent="0" shrinkToFit="false"/>
      <protection locked="true" hidden="false"/>
    </xf>
    <xf numFmtId="164" fontId="12" fillId="6" borderId="0" xfId="0" applyFont="true" applyBorder="true" applyAlignment="true" applyProtection="false">
      <alignment horizontal="general" vertical="center" textRotation="0" wrapText="true" indent="0" shrinkToFit="false"/>
      <protection locked="true" hidden="false"/>
    </xf>
    <xf numFmtId="164" fontId="13" fillId="3" borderId="0" xfId="0" applyFont="true" applyBorder="true" applyAlignment="true" applyProtection="false">
      <alignment horizontal="general" vertical="center" textRotation="0" wrapText="true" indent="0" shrinkToFit="false"/>
      <protection locked="true" hidden="false"/>
    </xf>
    <xf numFmtId="164" fontId="14" fillId="4" borderId="0" xfId="0" applyFont="true" applyBorder="true" applyAlignment="true" applyProtection="false">
      <alignment horizontal="general" vertical="center" textRotation="0" wrapText="true" indent="0" shrinkToFit="false"/>
      <protection locked="true" hidden="false"/>
    </xf>
    <xf numFmtId="164" fontId="5" fillId="5" borderId="0" xfId="0" applyFont="true" applyBorder="true" applyAlignment="true" applyProtection="false">
      <alignment horizontal="general" vertical="center" textRotation="0" wrapText="true" indent="0" shrinkToFit="false"/>
      <protection locked="true" hidden="false"/>
    </xf>
    <xf numFmtId="164" fontId="11" fillId="5" borderId="1" xfId="0" applyFont="true" applyBorder="true" applyAlignment="true" applyProtection="false">
      <alignment horizontal="general" vertical="center" textRotation="0" wrapText="true" indent="0" shrinkToFit="false"/>
      <protection locked="true" hidden="false"/>
    </xf>
    <xf numFmtId="164" fontId="12" fillId="7" borderId="0" xfId="0" applyFont="true" applyBorder="true" applyAlignment="true" applyProtection="false">
      <alignment horizontal="general" vertical="center" textRotation="0" wrapText="true" indent="0" shrinkToFit="false"/>
      <protection locked="true" hidden="false"/>
    </xf>
    <xf numFmtId="175" fontId="19" fillId="3" borderId="0" xfId="0" applyFont="true" applyBorder="true" applyAlignment="true" applyProtection="false">
      <alignment horizontal="general" vertical="center" textRotation="0" wrapText="true" indent="0" shrinkToFit="false"/>
      <protection locked="true" hidden="false"/>
    </xf>
    <xf numFmtId="176" fontId="12" fillId="5" borderId="0" xfId="0" applyFont="true" applyBorder="true" applyAlignment="true" applyProtection="false">
      <alignment horizontal="general" vertical="center" textRotation="0" wrapText="true" indent="0" shrinkToFit="false"/>
      <protection locked="true" hidden="false"/>
    </xf>
    <xf numFmtId="168" fontId="12" fillId="5" borderId="0" xfId="0" applyFont="true" applyBorder="true" applyAlignment="true" applyProtection="false">
      <alignment horizontal="general" vertical="center" textRotation="0" wrapText="true" indent="0" shrinkToFit="false"/>
      <protection locked="true" hidden="false"/>
    </xf>
    <xf numFmtId="177" fontId="12" fillId="5" borderId="0" xfId="0" applyFont="true" applyBorder="true" applyAlignment="true" applyProtection="false">
      <alignment horizontal="general" vertical="center" textRotation="0" wrapText="true" indent="0" shrinkToFit="false"/>
      <protection locked="true" hidden="false"/>
    </xf>
    <xf numFmtId="164" fontId="11" fillId="5" borderId="0" xfId="0" applyFont="true" applyBorder="true" applyAlignment="true" applyProtection="false">
      <alignment horizontal="general" vertical="center" textRotation="0" wrapText="true" indent="0" shrinkToFit="false"/>
      <protection locked="true" hidden="false"/>
    </xf>
    <xf numFmtId="178" fontId="12" fillId="5" borderId="0" xfId="0" applyFont="true" applyBorder="true" applyAlignment="true" applyProtection="false">
      <alignment horizontal="general" vertical="center" textRotation="0" wrapText="true" indent="0" shrinkToFit="false"/>
      <protection locked="true" hidden="false"/>
    </xf>
    <xf numFmtId="179" fontId="11" fillId="5" borderId="1" xfId="0" applyFont="true" applyBorder="true" applyAlignment="true" applyProtection="false">
      <alignment horizontal="general" vertical="center" textRotation="0" wrapText="true" indent="0" shrinkToFit="false"/>
      <protection locked="true" hidden="false"/>
    </xf>
    <xf numFmtId="164" fontId="7" fillId="4" borderId="0" xfId="0" applyFont="true" applyBorder="true" applyAlignment="true" applyProtection="false">
      <alignment horizontal="general" vertical="center" textRotation="0" wrapText="true" indent="0" shrinkToFit="false"/>
      <protection locked="true" hidden="false"/>
    </xf>
    <xf numFmtId="164" fontId="7" fillId="7" borderId="0" xfId="0" applyFont="true" applyBorder="true" applyAlignment="true" applyProtection="false">
      <alignment horizontal="general" vertical="center" textRotation="0" wrapText="true" indent="0" shrinkToFit="false"/>
      <protection locked="true" hidden="false"/>
    </xf>
    <xf numFmtId="171" fontId="11" fillId="5" borderId="1" xfId="0" applyFont="true" applyBorder="true" applyAlignment="true" applyProtection="false">
      <alignment horizontal="general" vertical="center" textRotation="0" wrapText="true" indent="0" shrinkToFit="false"/>
      <protection locked="true" hidden="false"/>
    </xf>
    <xf numFmtId="180" fontId="11" fillId="5" borderId="1" xfId="0" applyFont="true" applyBorder="true" applyAlignment="true" applyProtection="false">
      <alignment horizontal="general" vertical="center" textRotation="0" wrapText="true" indent="0" shrinkToFit="false"/>
      <protection locked="true" hidden="false"/>
    </xf>
    <xf numFmtId="170" fontId="11" fillId="5" borderId="1" xfId="0" applyFont="true" applyBorder="true" applyAlignment="true" applyProtection="false">
      <alignment horizontal="general" vertical="center" textRotation="0" wrapText="true" indent="0" shrinkToFit="false"/>
      <protection locked="true" hidden="false"/>
    </xf>
    <xf numFmtId="181" fontId="11" fillId="5" borderId="1" xfId="0" applyFont="true" applyBorder="true" applyAlignment="true" applyProtection="false">
      <alignment horizontal="general" vertical="center" textRotation="0" wrapText="true" indent="0" shrinkToFit="false"/>
      <protection locked="true" hidden="false"/>
    </xf>
    <xf numFmtId="164" fontId="20" fillId="5" borderId="1" xfId="0" applyFont="true" applyBorder="true" applyAlignment="true" applyProtection="false">
      <alignment horizontal="general" vertical="center" textRotation="0" wrapText="true" indent="0" shrinkToFit="false"/>
      <protection locked="true" hidden="false"/>
    </xf>
    <xf numFmtId="182" fontId="11" fillId="5" borderId="1" xfId="0" applyFont="true" applyBorder="true" applyAlignment="true" applyProtection="false">
      <alignment horizontal="general" vertical="center" textRotation="0" wrapText="true" indent="0" shrinkToFit="false"/>
      <protection locked="true" hidden="false"/>
    </xf>
    <xf numFmtId="164" fontId="11" fillId="7" borderId="0" xfId="0" applyFont="true" applyBorder="true" applyAlignment="true" applyProtection="false">
      <alignment horizontal="general" vertical="center" textRotation="0" wrapText="true" indent="0" shrinkToFit="false"/>
      <protection locked="true" hidden="false"/>
    </xf>
    <xf numFmtId="164" fontId="21" fillId="2" borderId="0" xfId="0" applyFont="true" applyBorder="true" applyAlignment="true" applyProtection="false">
      <alignment horizontal="general" vertical="center" textRotation="0" wrapText="true" indent="0" shrinkToFit="false"/>
      <protection locked="true" hidden="false"/>
    </xf>
    <xf numFmtId="174" fontId="11" fillId="5"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FFE5E5"/>
        </patternFill>
      </fill>
    </dxf>
    <dxf>
      <fill>
        <patternFill>
          <bgColor rgb="FFFFF0CE"/>
        </patternFill>
      </fill>
    </dxf>
    <dxf>
      <fill>
        <patternFill patternType="solid">
          <fgColor rgb="FFE5F2FF"/>
          <bgColor rgb="FF000000"/>
        </patternFill>
      </fill>
    </dxf>
    <dxf>
      <fill>
        <patternFill patternType="solid">
          <fgColor rgb="FFF1F5F9"/>
          <bgColor rgb="FF000000"/>
        </patternFill>
      </fill>
    </dxf>
    <dxf>
      <fill>
        <patternFill patternType="solid">
          <fgColor rgb="FF086AA5"/>
          <bgColor rgb="FF000000"/>
        </patternFill>
      </fill>
    </dxf>
    <dxf>
      <fill>
        <patternFill patternType="solid">
          <fgColor rgb="FF20354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C"/>
      <rgbColor rgb="FFF1F5F9"/>
      <rgbColor rgb="FF878787"/>
      <rgbColor rgb="FF9999FF"/>
      <rgbColor rgb="FF993366"/>
      <rgbColor rgb="FFFFF0CE"/>
      <rgbColor rgb="FFE1F3EB"/>
      <rgbColor rgb="FF660066"/>
      <rgbColor rgb="FFFF8080"/>
      <rgbColor rgb="FF086AA5"/>
      <rgbColor rgb="FFD9D9D9"/>
      <rgbColor rgb="FF000080"/>
      <rgbColor rgb="FFFF00FF"/>
      <rgbColor rgb="FFFFFF00"/>
      <rgbColor rgb="FF00FFFF"/>
      <rgbColor rgb="FF800080"/>
      <rgbColor rgb="FF800000"/>
      <rgbColor rgb="FF008080"/>
      <rgbColor rgb="FF0000FF"/>
      <rgbColor rgb="FF00CCFF"/>
      <rgbColor rgb="FFE5F2FF"/>
      <rgbColor rgb="FFD6E1EA"/>
      <rgbColor rgb="FFF9F9F9"/>
      <rgbColor rgb="FF99CCFF"/>
      <rgbColor rgb="FFFF99CC"/>
      <rgbColor rgb="FFCC99FF"/>
      <rgbColor rgb="FFFFE5E5"/>
      <rgbColor rgb="FF4F81BD"/>
      <rgbColor rgb="FF33CCCC"/>
      <rgbColor rgb="FF99CC00"/>
      <rgbColor rgb="FFFFCC00"/>
      <rgbColor rgb="FFFF9900"/>
      <rgbColor rgb="FFFF6600"/>
      <rgbColor rgb="FF617589"/>
      <rgbColor rgb="FF969696"/>
      <rgbColor rgb="FF142D4E"/>
      <rgbColor rgb="FF339966"/>
      <rgbColor rgb="FF003300"/>
      <rgbColor rgb="FF333300"/>
      <rgbColor rgb="FF993300"/>
      <rgbColor rgb="FF993366"/>
      <rgbColor rgb="FF333399"/>
      <rgbColor rgb="FF2035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a="http://schemas.openxmlformats.org/drawingml/2006/main" xmlns:c="http://schemas.openxmlformats.org/drawingml/2006/chart">
  <c:lang val="en-US"/>
  <c:roundedCorners val="0"/>
  <c:style val="10"/>
  <c:chart>
    <c:title>
      <c:tx>
        <c:rich>
          <a:bodyPr rot="0"/>
          <a:lstStyle/>
          <a:p>
            <a:pPr>
              <a:defRPr sz="1300" b="0" u="none" strike="noStrike">
                <a:uFillTx/>
                <a:latin typeface="Arial"/>
              </a:defRPr>
            </a:pPr>
            <a:r>
              <a:rPr sz="1800" b="1" u="none" strike="noStrike">
                <a:solidFill>
                  <a:srgbClr val="000000"/>
                </a:solidFill>
                <a:uFillTx/>
                <a:latin typeface="Calibri"/>
              </a:rPr>
              <a:t>Bidrag til trykkdifferanse</a:t>
            </a:r>
          </a:p>
        </c:rich>
      </c:tx>
      <c:overlay val="0"/>
      <c:spPr>
        <a:noFill/>
        <a:ln w="0">
          <a:noFill/>
        </a:ln>
      </c:spPr>
    </c:title>
    <c:autoTitleDeleted val="0"/>
    <c:plotArea>
      <c:layout>
        <c:manualLayout>
          <c:layoutTarget val="inner"/>
          <c:xMode val="factor"/>
          <c:yMode val="factor"/>
          <c:wMode val="factor"/>
          <c:hMode val="factor"/>
          <c:x val="0.23"/>
          <c:y val="0.18"/>
          <c:w val="0.54"/>
          <c:h val="0.68"/>
        </c:manualLayout>
      </c:layout>
      <c:barChart>
        <c:barDir val="bar"/>
        <c:grouping val="clustered"/>
        <c:varyColors val="0"/>
        <c:ser>
          <c:idx val="0"/>
          <c:order val="0"/>
          <c:tx>
            <c:strRef>
              <c:f>Beregning!E29</c:f>
              <c:strCache>
                <c:ptCount val="1"/>
                <c:pt idx="0">
                  <c:v>bar</c:v>
                </c:pt>
              </c:strCache>
            </c:strRef>
          </c:tx>
          <c:spPr>
            <a:ln w="12600">
              <a:solidFill>
                <a:srgbClr val="F9F9F9"/>
              </a:solidFill>
              <a:round/>
            </a:ln>
          </c:spPr>
          <c:invertIfNegative val="0"/>
          <c:dLbls>
            <c:numFmt formatCode="0.000&quot; bar&quot;;-0.000&quot; bar&quot;;&quot;&quot;"/>
            <c:dLblPos val="outEnd"/>
            <c:showLegendKey val="0"/>
            <c:showVal val="1"/>
            <c:showCatName val="1"/>
            <c:showSerName val="0"/>
            <c:showPercent val="0"/>
            <c:separator val="&#10;"/>
          </c:dLbls>
          <c:cat>
            <c:strRef>
              <c:f>Beregning!$D$30:$D$37</c:f>
              <c:strCache>
                <c:ptCount val="8"/>
                <c:pt idx="0">
                  <c:v>Rørfriksjon</c:v>
                </c:pt>
                <c:pt idx="1">
                  <c:v>Bend / K</c:v>
                </c:pt>
                <c:pt idx="2">
                  <c:v/>
                </c:pt>
                <c:pt idx="3">
                  <c:v/>
                </c:pt>
                <c:pt idx="4">
                  <c:v/>
                </c:pt>
                <c:pt idx="5">
                  <c:v>Høydebidrag</c:v>
                </c:pt>
                <c:pt idx="6">
                  <c:v/>
                </c:pt>
                <c:pt idx="7">
                  <c:v/>
                </c:pt>
              </c:strCache>
            </c:strRef>
          </c:cat>
          <c:val>
            <c:numRef>
              <c:f>Beregning!$E$30:$E$37</c:f>
              <c:numCache>
                <c:formatCode>0.000" bar";\-0.000" bar";""</c:formatCode>
                <c:ptCount val="8"/>
                <c:pt idx="0">
                  <c:v>0.413427391377765</c:v>
                </c:pt>
                <c:pt idx="1">
                  <c:v>0.0224374066707195</c:v>
                </c:pt>
                <c:pt idx="2">
                  <c:v>0</c:v>
                </c:pt>
                <c:pt idx="3">
                  <c:v>0</c:v>
                </c:pt>
                <c:pt idx="4">
                  <c:v>0</c:v>
                </c:pt>
                <c:pt idx="5">
                  <c:v>0.7831198424</c:v>
                </c:pt>
                <c:pt idx="6">
                  <c:v>0</c:v>
                </c:pt>
                <c:pt idx="7">
                  <c:v>0</c:v>
                </c:pt>
              </c:numCache>
            </c:numRef>
          </c:val>
        </c:ser>
        <c:gapWidth val="150"/>
        <c:overlap val="0"/>
        <c:axId val="33228727"/>
        <c:axId val="45193834"/>
      </c:barChart>
      <c:catAx>
        <c:axId val="33228727"/>
        <c:scaling>
          <c:orientation val="minMax"/>
        </c:scaling>
        <c:delete val="1"/>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5193834"/>
        <c:auto val="1"/>
        <c:lblAlgn val="ctr"/>
        <c:lblOffset val="100"/>
        <c:noMultiLvlLbl val="0"/>
      </c:catAx>
      <c:valAx>
        <c:axId val="45193834"/>
        <c:scaling>
          <c:orientation val="minMax"/>
        </c:scaling>
        <c:delete val="0"/>
        <c:axPos val="l"/>
        <c:majorGridlines>
          <c:spPr>
            <a:ln w="9360">
              <a:solidFill>
                <a:srgbClr val="878787"/>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rPr>
                  <a:t>bar (med fortegn)</a:t>
                </a:r>
              </a:p>
            </c:rich>
          </c:tx>
          <c:overlay val="0"/>
          <c:spPr>
            <a:noFill/>
            <a:ln w="0">
              <a:noFill/>
            </a:ln>
          </c:spPr>
        </c:title>
        <c:numFmt formatCode="0.000&quot; bar&quot;;\-0.000&quot; bar&quot;;&quot;&quot;"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3228727"/>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0</xdr:rowOff>
    </xdr:from>
    <xdr:to>
      <xdr:col>13</xdr:col>
      <xdr:colOff>509400</xdr:colOff>
      <xdr:row>39</xdr:row>
      <xdr:rowOff>223920</xdr:rowOff>
    </xdr:to>
    <xdr:graphicFrame>
      <xdr:nvGraphicFramePr>
        <xdr:cNvPr id="1" name="Chart 1"/>
        <xdr:cNvGraphicFramePr/>
      </xdr:nvGraphicFramePr>
      <xdr:xfrm>
        <a:off x="6484680" y="7620120"/>
        <a:ext cx="5795640" cy="43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input/Trykkberegning_ror.xlsx" TargetMode="External"/><Relationship Id="rId3" Type="http://schemas.openxmlformats.org/officeDocument/2006/relationships/hyperlink" Target="../input/Trykkberegning_ror.xlsx" TargetMode="External"/><Relationship Id="rId4" Type="http://schemas.openxmlformats.org/officeDocument/2006/relationships/hyperlink" Target="../input/Trykkberegning_ror.xlsx" TargetMode="External"/><Relationship Id="rId5" Type="http://schemas.openxmlformats.org/officeDocument/2006/relationships/hyperlink" Target="../input/Trykkberegning_ror.xlsx" TargetMode="External"/><Relationship Id="rId6" Type="http://schemas.openxmlformats.org/officeDocument/2006/relationships/hyperlink" Target="../input/Trykkberegning_ror.xlsx" TargetMode="External"/><Relationship Id="rId7" Type="http://schemas.openxmlformats.org/officeDocument/2006/relationships/hyperlink" Target="../input/Trykkberegning_ror.xlsx" TargetMode="External"/><Relationship Id="rId8" Type="http://schemas.openxmlformats.org/officeDocument/2006/relationships/hyperlink" Target="../input/Trykkberegning_ror.xlsx" TargetMode="External"/><Relationship Id="rId9" Type="http://schemas.openxmlformats.org/officeDocument/2006/relationships/drawing" Target="../drawings/drawing1.xml"/><Relationship Id="rId10"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hyperlink" Target="https://github.com/CalebBell/fluids/blob/master/fluids/fittings.py" TargetMode="Externa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N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3" min="2" style="0" width="11"/>
    <col collapsed="false" customWidth="true" hidden="false" outlineLevel="0" max="4" min="4" style="0" width="13"/>
    <col collapsed="false" customWidth="true" hidden="false" outlineLevel="0" max="5" min="5" style="0" width="23"/>
    <col collapsed="false" customWidth="true" hidden="false" outlineLevel="0" max="6" min="6" style="0" width="13"/>
    <col collapsed="false" customWidth="true" hidden="false" outlineLevel="0" max="7" min="7" style="0" width="3"/>
    <col collapsed="false" customWidth="true" hidden="false" outlineLevel="0" max="8" min="8" style="0" width="15"/>
    <col collapsed="false" customWidth="true" hidden="false" outlineLevel="0" max="11" min="9" style="0" width="12"/>
    <col collapsed="false" customWidth="true" hidden="false" outlineLevel="0" max="12" min="12" style="0" width="13"/>
    <col collapsed="false" customWidth="true" hidden="false" outlineLevel="0" max="13" min="13" style="0" width="11"/>
    <col collapsed="false" customWidth="true" hidden="false" outlineLevel="0" max="14" min="14" style="0" width="12"/>
  </cols>
  <sheetData>
    <row r="1" customFormat="false" ht="22.5" hidden="false" customHeight="true" outlineLevel="0" collapsed="false">
      <c r="A1" s="1" t="s">
        <v>0</v>
      </c>
      <c r="B1" s="1"/>
      <c r="C1" s="1"/>
      <c r="D1" s="1"/>
      <c r="E1" s="1"/>
      <c r="F1" s="1"/>
      <c r="G1" s="1"/>
      <c r="H1" s="1"/>
      <c r="I1" s="1"/>
      <c r="J1" s="1"/>
      <c r="K1" s="1"/>
      <c r="L1" s="1"/>
      <c r="M1" s="1"/>
      <c r="N1" s="1"/>
    </row>
    <row r="2" customFormat="false" ht="22.5" hidden="false" customHeight="true" outlineLevel="0" collapsed="false">
      <c r="A2" s="1"/>
      <c r="B2" s="1"/>
      <c r="C2" s="1"/>
      <c r="D2" s="1"/>
      <c r="E2" s="1"/>
      <c r="F2" s="1"/>
      <c r="G2" s="1"/>
      <c r="H2" s="1"/>
      <c r="I2" s="1"/>
      <c r="J2" s="1"/>
      <c r="K2" s="1"/>
      <c r="L2" s="1"/>
      <c r="M2" s="1"/>
      <c r="N2" s="1"/>
    </row>
    <row r="3" customFormat="false" ht="22.5" hidden="false" customHeight="true" outlineLevel="0" collapsed="false">
      <c r="A3" s="2" t="s">
        <v>1</v>
      </c>
      <c r="B3" s="2"/>
      <c r="C3" s="2"/>
      <c r="D3" s="2"/>
      <c r="E3" s="2"/>
      <c r="F3" s="2"/>
      <c r="G3" s="2"/>
      <c r="H3" s="2"/>
      <c r="I3" s="2"/>
      <c r="J3" s="2"/>
      <c r="K3" s="2"/>
      <c r="L3" s="2"/>
      <c r="M3" s="2"/>
      <c r="N3" s="2"/>
    </row>
    <row r="4" customFormat="false" ht="22.5" hidden="false" customHeight="true" outlineLevel="0" collapsed="false"/>
    <row r="5" customFormat="false" ht="22.5" hidden="false" customHeight="true" outlineLevel="0" collapsed="false">
      <c r="A5" s="3" t="s">
        <v>2</v>
      </c>
      <c r="B5" s="3"/>
      <c r="C5" s="3"/>
      <c r="D5" s="3"/>
      <c r="E5" s="3"/>
      <c r="F5" s="3"/>
      <c r="H5" s="4" t="s">
        <v>3</v>
      </c>
      <c r="I5" s="4"/>
      <c r="J5" s="4"/>
      <c r="K5" s="4"/>
      <c r="L5" s="4"/>
      <c r="M5" s="4"/>
      <c r="N5" s="4"/>
    </row>
    <row r="6" customFormat="false" ht="30" hidden="false" customHeight="true" outlineLevel="0" collapsed="false">
      <c r="A6" s="5" t="s">
        <v>4</v>
      </c>
      <c r="B6" s="5"/>
      <c r="C6" s="5"/>
      <c r="D6" s="5"/>
      <c r="E6" s="6" t="s">
        <v>5</v>
      </c>
      <c r="F6" s="6"/>
      <c r="H6" s="7" t="s">
        <v>6</v>
      </c>
      <c r="I6" s="7"/>
      <c r="J6" s="7"/>
      <c r="K6" s="7"/>
      <c r="L6" s="7"/>
      <c r="M6" s="7"/>
      <c r="N6" s="7"/>
    </row>
    <row r="7" customFormat="false" ht="30" hidden="false" customHeight="true" outlineLevel="0" collapsed="false">
      <c r="A7" s="5" t="s">
        <v>7</v>
      </c>
      <c r="B7" s="5"/>
      <c r="C7" s="5"/>
      <c r="D7" s="5"/>
      <c r="E7" s="6" t="s">
        <v>8</v>
      </c>
      <c r="F7" s="6"/>
      <c r="H7" s="8" t="n">
        <f aca="false">IF(Beregning!B4="OK",Beregning!B37/100000,"")</f>
        <v>1.21898464044849</v>
      </c>
      <c r="I7" s="8"/>
      <c r="J7" s="8"/>
      <c r="K7" s="8"/>
      <c r="L7" s="8"/>
      <c r="M7" s="8"/>
      <c r="N7" s="8"/>
    </row>
    <row r="8" customFormat="false" ht="22.5" hidden="false" customHeight="true" outlineLevel="0" collapsed="false">
      <c r="A8" s="5" t="s">
        <v>9</v>
      </c>
      <c r="B8" s="5"/>
      <c r="C8" s="5"/>
      <c r="D8" s="5"/>
      <c r="E8" s="9" t="n">
        <f aca="false">IF(E9&lt;&gt;"",E9,IFERROR(VLOOKUP(E6&amp;"|"&amp;E7,Roroppslag,4,FALSE()),0))</f>
        <v>88.9</v>
      </c>
      <c r="F8" s="10" t="s">
        <v>10</v>
      </c>
      <c r="H8" s="8"/>
      <c r="I8" s="8"/>
      <c r="J8" s="8"/>
      <c r="K8" s="8"/>
      <c r="L8" s="8"/>
      <c r="M8" s="8"/>
      <c r="N8" s="8"/>
    </row>
    <row r="9" customFormat="false" ht="22.5" hidden="false" customHeight="true" outlineLevel="0" collapsed="false">
      <c r="A9" s="5" t="s">
        <v>11</v>
      </c>
      <c r="B9" s="5"/>
      <c r="C9" s="5"/>
      <c r="D9" s="5"/>
      <c r="E9" s="11"/>
      <c r="F9" s="10" t="s">
        <v>10</v>
      </c>
      <c r="H9" s="8"/>
      <c r="I9" s="8"/>
      <c r="J9" s="8"/>
      <c r="K9" s="8"/>
      <c r="L9" s="8"/>
      <c r="M9" s="8"/>
      <c r="N9" s="8"/>
    </row>
    <row r="10" customFormat="false" ht="22.5" hidden="false" customHeight="true" outlineLevel="0" collapsed="false">
      <c r="A10" s="5" t="s">
        <v>12</v>
      </c>
      <c r="B10" s="5"/>
      <c r="C10" s="5"/>
      <c r="D10" s="5"/>
      <c r="E10" s="11" t="n">
        <v>3.2</v>
      </c>
      <c r="F10" s="10" t="s">
        <v>10</v>
      </c>
      <c r="H10" s="2" t="s">
        <v>13</v>
      </c>
      <c r="I10" s="2"/>
      <c r="J10" s="2"/>
      <c r="K10" s="2"/>
      <c r="L10" s="2"/>
      <c r="M10" s="2"/>
      <c r="N10" s="2"/>
    </row>
    <row r="11" customFormat="false" ht="22.5" hidden="false" customHeight="true" outlineLevel="0" collapsed="false">
      <c r="A11" s="5" t="s">
        <v>14</v>
      </c>
      <c r="B11" s="5"/>
      <c r="C11" s="5"/>
      <c r="D11" s="5"/>
      <c r="E11" s="11"/>
      <c r="F11" s="10" t="s">
        <v>10</v>
      </c>
    </row>
    <row r="12" customFormat="false" ht="22.5" hidden="false" customHeight="true" outlineLevel="0" collapsed="false">
      <c r="A12" s="5" t="s">
        <v>15</v>
      </c>
      <c r="B12" s="5"/>
      <c r="C12" s="5"/>
      <c r="D12" s="5"/>
      <c r="E12" s="9" t="n">
        <f aca="false">IF(E11&lt;&gt;"",E11,IFERROR(E8-2*E10,0))</f>
        <v>82.5</v>
      </c>
      <c r="F12" s="10" t="s">
        <v>10</v>
      </c>
      <c r="H12" s="5" t="s">
        <v>16</v>
      </c>
      <c r="I12" s="5"/>
      <c r="J12" s="5"/>
      <c r="K12" s="5"/>
      <c r="L12" s="12" t="n">
        <f aca="false">IF(Beregning!B4="OK",Beregning!B35/100000,"")</f>
        <v>0.435864798048485</v>
      </c>
      <c r="M12" s="12"/>
      <c r="N12" s="12"/>
    </row>
    <row r="13" customFormat="false" ht="30" hidden="false" customHeight="true" outlineLevel="0" collapsed="false">
      <c r="A13" s="5" t="s">
        <v>17</v>
      </c>
      <c r="B13" s="5"/>
      <c r="C13" s="5"/>
      <c r="D13" s="5"/>
      <c r="E13" s="6" t="s">
        <v>18</v>
      </c>
      <c r="F13" s="6"/>
      <c r="H13" s="5" t="s">
        <v>19</v>
      </c>
      <c r="I13" s="5"/>
      <c r="J13" s="5"/>
      <c r="K13" s="5"/>
      <c r="L13" s="12" t="n">
        <f aca="false">IF(Beregning!B4="OK",Beregning!B36/100000,"")</f>
        <v>0.7831198424</v>
      </c>
      <c r="M13" s="12"/>
      <c r="N13" s="12"/>
    </row>
    <row r="14" customFormat="false" ht="30" hidden="false" customHeight="true" outlineLevel="0" collapsed="false">
      <c r="A14" s="5" t="s">
        <v>20</v>
      </c>
      <c r="B14" s="5"/>
      <c r="C14" s="5"/>
      <c r="D14" s="5"/>
      <c r="E14" s="6" t="s">
        <v>21</v>
      </c>
      <c r="F14" s="6"/>
      <c r="H14" s="5" t="s">
        <v>22</v>
      </c>
      <c r="I14" s="5"/>
      <c r="J14" s="5"/>
      <c r="K14" s="5"/>
      <c r="L14" s="13" t="n">
        <f aca="false">IF(Beregning!B3="OK",Beregning!B13,"")</f>
        <v>1.87069170943642</v>
      </c>
      <c r="M14" s="13"/>
      <c r="N14" s="13"/>
    </row>
    <row r="15" customFormat="false" ht="22.5" hidden="false" customHeight="true" outlineLevel="0" collapsed="false">
      <c r="A15" s="5" t="s">
        <v>23</v>
      </c>
      <c r="B15" s="5"/>
      <c r="C15" s="5"/>
      <c r="D15" s="5"/>
      <c r="E15" s="14" t="n">
        <f aca="false">IF(E16&lt;&gt;"",E16,IFERROR(VLOOKUP(E13,Materialdata,3,FALSE()),0))</f>
        <v>0.045</v>
      </c>
      <c r="F15" s="10" t="s">
        <v>10</v>
      </c>
      <c r="H15" s="5" t="s">
        <v>24</v>
      </c>
      <c r="I15" s="5"/>
      <c r="J15" s="5"/>
      <c r="K15" s="5"/>
      <c r="L15" s="15" t="n">
        <f aca="false">IF(Beregning!B3="OK",Beregning!B14,"")</f>
        <v>153746.774760133</v>
      </c>
      <c r="M15" s="15"/>
      <c r="N15" s="15"/>
    </row>
    <row r="16" customFormat="false" ht="22.5" hidden="false" customHeight="true" outlineLevel="0" collapsed="false">
      <c r="A16" s="5" t="s">
        <v>25</v>
      </c>
      <c r="B16" s="5"/>
      <c r="C16" s="5"/>
      <c r="D16" s="5"/>
      <c r="E16" s="16"/>
      <c r="F16" s="10" t="s">
        <v>10</v>
      </c>
      <c r="H16" s="5" t="s">
        <v>26</v>
      </c>
      <c r="I16" s="5"/>
      <c r="J16" s="5"/>
      <c r="K16" s="5"/>
      <c r="L16" s="17" t="str">
        <f aca="false">IF(Beregning!B3="OK",Beregning!B24,"")</f>
        <v>Turbulent</v>
      </c>
      <c r="M16" s="17"/>
      <c r="N16" s="17"/>
    </row>
    <row r="17" customFormat="false" ht="22.5" hidden="false" customHeight="true" outlineLevel="0" collapsed="false">
      <c r="A17" s="5" t="s">
        <v>27</v>
      </c>
      <c r="B17" s="5"/>
      <c r="C17" s="5"/>
      <c r="D17" s="5"/>
      <c r="E17" s="18" t="n">
        <v>0</v>
      </c>
      <c r="F17" s="10" t="s">
        <v>28</v>
      </c>
      <c r="H17" s="5" t="s">
        <v>29</v>
      </c>
      <c r="I17" s="5"/>
      <c r="J17" s="5"/>
      <c r="K17" s="5"/>
      <c r="L17" s="19" t="n">
        <f aca="false">IF(Beregning!B3="OK",Beregning!B23,"")</f>
        <v>0.0195281536170635</v>
      </c>
      <c r="M17" s="19"/>
      <c r="N17" s="19"/>
    </row>
    <row r="18" customFormat="false" ht="22.5" hidden="false" customHeight="true" outlineLevel="0" collapsed="false">
      <c r="A18" s="5" t="s">
        <v>30</v>
      </c>
      <c r="B18" s="5"/>
      <c r="C18" s="5"/>
      <c r="D18" s="5"/>
      <c r="E18" s="16" t="n">
        <v>0</v>
      </c>
      <c r="F18" s="10" t="s">
        <v>31</v>
      </c>
      <c r="H18" s="5" t="s">
        <v>32</v>
      </c>
      <c r="I18" s="5"/>
      <c r="J18" s="5"/>
      <c r="K18" s="5"/>
      <c r="L18" s="20" t="n">
        <f aca="false">IF(Beregning!B4="OK",Beregning!B37/(Beregning!B10*Beregning!B6),"")</f>
        <v>12.4525986900059</v>
      </c>
      <c r="M18" s="20"/>
      <c r="N18" s="20"/>
    </row>
    <row r="19" customFormat="false" ht="22.5" hidden="false" customHeight="true" outlineLevel="0" collapsed="false">
      <c r="A19" s="3" t="s">
        <v>33</v>
      </c>
      <c r="B19" s="3"/>
      <c r="C19" s="3"/>
      <c r="D19" s="3"/>
      <c r="E19" s="3"/>
      <c r="F19" s="3"/>
      <c r="H19" s="5" t="s">
        <v>34</v>
      </c>
      <c r="I19" s="5"/>
      <c r="J19" s="5"/>
      <c r="K19" s="5"/>
      <c r="L19" s="21" t="str">
        <f aca="false">IF(OR(Beregning!B4&lt;&gt;"OK",E33=""),"Ikke angitt",E33-Beregning!B37/100000)</f>
        <v>Ikke angitt</v>
      </c>
      <c r="M19" s="21"/>
      <c r="N19" s="21"/>
    </row>
    <row r="20" customFormat="false" ht="30" hidden="false" customHeight="true" outlineLevel="0" collapsed="false">
      <c r="A20" s="5" t="s">
        <v>35</v>
      </c>
      <c r="B20" s="5"/>
      <c r="C20" s="5"/>
      <c r="D20" s="5"/>
      <c r="E20" s="6" t="s">
        <v>36</v>
      </c>
      <c r="F20" s="6"/>
    </row>
    <row r="21" customFormat="false" ht="22.5" hidden="false" customHeight="true" outlineLevel="0" collapsed="false">
      <c r="A21" s="5" t="s">
        <v>37</v>
      </c>
      <c r="B21" s="5"/>
      <c r="C21" s="5"/>
      <c r="D21" s="5"/>
      <c r="E21" s="9" t="n">
        <f aca="false">IF(E23&lt;&gt;"",E23,IFERROR(VLOOKUP(E20,Mediedata,2,FALSE()),0))</f>
        <v>998.2</v>
      </c>
      <c r="F21" s="10" t="s">
        <v>38</v>
      </c>
      <c r="H21" s="22" t="s">
        <v>39</v>
      </c>
      <c r="I21" s="22"/>
      <c r="J21" s="22"/>
      <c r="K21" s="22"/>
      <c r="L21" s="22"/>
      <c r="M21" s="22"/>
      <c r="N21" s="22"/>
    </row>
    <row r="22" customFormat="false" ht="22.5" hidden="false" customHeight="true" outlineLevel="0" collapsed="false">
      <c r="A22" s="5" t="s">
        <v>40</v>
      </c>
      <c r="B22" s="5"/>
      <c r="C22" s="5"/>
      <c r="D22" s="5"/>
      <c r="E22" s="14" t="n">
        <f aca="false">IF(E24&lt;&gt;"",E24,IFERROR(VLOOKUP(E20,Mediedata,3,FALSE()),0))</f>
        <v>1.002</v>
      </c>
      <c r="F22" s="10" t="s">
        <v>41</v>
      </c>
      <c r="H22" s="23" t="str">
        <f aca="false">IF(Beregning!B4&lt;&gt;"OK",Beregning!B4,IF(E14="Annen / dokumentert","OK – kontroller egen EN-standard mot leverandørdata.",IF(Beregning!B37&lt;0,"OK – negativ differanse: høydefallet gir mer trykk enn tapene tar.","OK – alle aktive komponentrader er med.")))</f>
        <v>OK – alle aktive komponentrader er med.</v>
      </c>
      <c r="I22" s="23"/>
      <c r="J22" s="23"/>
      <c r="K22" s="23"/>
      <c r="L22" s="23"/>
      <c r="M22" s="23"/>
      <c r="N22" s="23"/>
    </row>
    <row r="23" customFormat="false" ht="22.5" hidden="false" customHeight="true" outlineLevel="0" collapsed="false">
      <c r="A23" s="5" t="s">
        <v>42</v>
      </c>
      <c r="B23" s="5"/>
      <c r="C23" s="5"/>
      <c r="D23" s="5"/>
      <c r="E23" s="11"/>
      <c r="F23" s="10" t="s">
        <v>38</v>
      </c>
      <c r="H23" s="23"/>
      <c r="I23" s="23"/>
      <c r="J23" s="23"/>
      <c r="K23" s="23"/>
      <c r="L23" s="23"/>
      <c r="M23" s="23"/>
      <c r="N23" s="23"/>
    </row>
    <row r="24" customFormat="false" ht="22.5" hidden="false" customHeight="true" outlineLevel="0" collapsed="false">
      <c r="A24" s="5" t="s">
        <v>43</v>
      </c>
      <c r="B24" s="5"/>
      <c r="C24" s="5"/>
      <c r="D24" s="5"/>
      <c r="E24" s="16"/>
      <c r="F24" s="10" t="s">
        <v>41</v>
      </c>
      <c r="H24" s="23"/>
      <c r="I24" s="23"/>
      <c r="J24" s="23"/>
      <c r="K24" s="23"/>
      <c r="L24" s="23"/>
      <c r="M24" s="23"/>
      <c r="N24" s="23"/>
    </row>
    <row r="25" customFormat="false" ht="22.5" hidden="false" customHeight="true" outlineLevel="0" collapsed="false">
      <c r="A25" s="5" t="s">
        <v>44</v>
      </c>
      <c r="B25" s="5"/>
      <c r="C25" s="5"/>
      <c r="D25" s="5"/>
      <c r="E25" s="11" t="n">
        <v>36</v>
      </c>
      <c r="F25" s="10" t="s">
        <v>45</v>
      </c>
    </row>
    <row r="26" customFormat="false" ht="22.5" hidden="false" customHeight="true" outlineLevel="0" collapsed="false">
      <c r="A26" s="5" t="s">
        <v>46</v>
      </c>
      <c r="B26" s="5"/>
      <c r="C26" s="5"/>
      <c r="D26" s="5"/>
      <c r="E26" s="14" t="n">
        <f aca="false">IFERROR(1000*E22/E21,0)</f>
        <v>1.0038068523342</v>
      </c>
      <c r="F26" s="10" t="s">
        <v>47</v>
      </c>
    </row>
    <row r="27" customFormat="false" ht="22.5" hidden="false" customHeight="true" outlineLevel="0" collapsed="false"/>
    <row r="28" customFormat="false" ht="22.5" hidden="false" customHeight="true" outlineLevel="0" collapsed="false">
      <c r="A28" s="3" t="s">
        <v>48</v>
      </c>
      <c r="B28" s="3"/>
      <c r="C28" s="3"/>
      <c r="D28" s="3"/>
      <c r="E28" s="3"/>
      <c r="F28" s="3"/>
    </row>
    <row r="29" customFormat="false" ht="22.5" hidden="false" customHeight="true" outlineLevel="0" collapsed="false">
      <c r="A29" s="5" t="s">
        <v>49</v>
      </c>
      <c r="B29" s="5"/>
      <c r="C29" s="5"/>
      <c r="D29" s="5"/>
      <c r="E29" s="11" t="n">
        <v>100</v>
      </c>
      <c r="F29" s="10" t="s">
        <v>50</v>
      </c>
    </row>
    <row r="30" customFormat="false" ht="22.5" hidden="false" customHeight="true" outlineLevel="0" collapsed="false">
      <c r="A30" s="5" t="s">
        <v>51</v>
      </c>
      <c r="B30" s="5"/>
      <c r="C30" s="5"/>
      <c r="D30" s="5"/>
      <c r="E30" s="11" t="n">
        <v>10</v>
      </c>
      <c r="F30" s="10" t="s">
        <v>50</v>
      </c>
    </row>
    <row r="31" customFormat="false" ht="22.5" hidden="false" customHeight="true" outlineLevel="0" collapsed="false">
      <c r="A31" s="5" t="s">
        <v>52</v>
      </c>
      <c r="B31" s="5"/>
      <c r="C31" s="5"/>
      <c r="D31" s="5"/>
      <c r="E31" s="11" t="n">
        <v>2</v>
      </c>
      <c r="F31" s="10" t="s">
        <v>50</v>
      </c>
    </row>
    <row r="32" customFormat="false" ht="22.5" hidden="false" customHeight="true" outlineLevel="0" collapsed="false">
      <c r="A32" s="5" t="s">
        <v>53</v>
      </c>
      <c r="B32" s="5"/>
      <c r="C32" s="5"/>
      <c r="D32" s="5"/>
      <c r="E32" s="9" t="n">
        <f aca="false">IFERROR(E30-E31,0)</f>
        <v>8</v>
      </c>
      <c r="F32" s="10" t="s">
        <v>50</v>
      </c>
    </row>
    <row r="33" customFormat="false" ht="22.5" hidden="false" customHeight="true" outlineLevel="0" collapsed="false">
      <c r="A33" s="5" t="s">
        <v>54</v>
      </c>
      <c r="B33" s="5"/>
      <c r="C33" s="5"/>
      <c r="D33" s="5"/>
      <c r="E33" s="11"/>
      <c r="F33" s="10" t="s">
        <v>55</v>
      </c>
    </row>
    <row r="34" customFormat="false" ht="30" hidden="false" customHeight="true" outlineLevel="0" collapsed="false">
      <c r="A34" s="5" t="s">
        <v>56</v>
      </c>
      <c r="B34" s="5"/>
      <c r="C34" s="5"/>
      <c r="D34" s="5"/>
      <c r="E34" s="6" t="s">
        <v>57</v>
      </c>
      <c r="F34" s="6"/>
    </row>
    <row r="35" customFormat="false" ht="22.5" hidden="false" customHeight="true" outlineLevel="0" collapsed="false">
      <c r="A35" s="24" t="s">
        <v>58</v>
      </c>
      <c r="B35" s="24"/>
      <c r="C35" s="24"/>
      <c r="D35" s="24"/>
      <c r="E35" s="24"/>
      <c r="F35" s="24"/>
    </row>
    <row r="36" customFormat="false" ht="22.5" hidden="false" customHeight="true" outlineLevel="0" collapsed="false">
      <c r="A36" s="25" t="s">
        <v>59</v>
      </c>
      <c r="B36" s="25"/>
      <c r="C36" s="25"/>
      <c r="D36" s="25"/>
      <c r="E36" s="25"/>
      <c r="F36" s="25"/>
    </row>
    <row r="37" customFormat="false" ht="22.5" hidden="false" customHeight="true" outlineLevel="0" collapsed="false">
      <c r="A37" s="25" t="s">
        <v>60</v>
      </c>
      <c r="B37" s="25"/>
      <c r="C37" s="25"/>
      <c r="D37" s="25"/>
      <c r="E37" s="25"/>
      <c r="F37" s="25"/>
    </row>
    <row r="38" customFormat="false" ht="22.5" hidden="false" customHeight="true" outlineLevel="0" collapsed="false">
      <c r="A38" s="25" t="s">
        <v>61</v>
      </c>
      <c r="B38" s="25"/>
      <c r="C38" s="25"/>
      <c r="D38" s="25"/>
      <c r="E38" s="25"/>
      <c r="F38" s="25"/>
    </row>
    <row r="39" customFormat="false" ht="22.5" hidden="false" customHeight="true" outlineLevel="0" collapsed="false"/>
    <row r="40" customFormat="false" ht="22.5" hidden="false" customHeight="true" outlineLevel="0" collapsed="false">
      <c r="A40" s="26" t="s">
        <v>62</v>
      </c>
      <c r="B40" s="26"/>
      <c r="C40" s="26"/>
      <c r="D40" s="26"/>
      <c r="E40" s="26"/>
      <c r="F40" s="26"/>
    </row>
    <row r="41" customFormat="false" ht="22.5" hidden="false" customHeight="true" outlineLevel="0" collapsed="false">
      <c r="A41" s="26"/>
      <c r="B41" s="26"/>
      <c r="C41" s="26"/>
      <c r="D41" s="26"/>
      <c r="E41" s="26"/>
      <c r="F41" s="26"/>
    </row>
    <row r="42" customFormat="false" ht="22.5" hidden="false" customHeight="true" outlineLevel="0" collapsed="false">
      <c r="A42" s="25" t="s">
        <v>63</v>
      </c>
      <c r="B42" s="25"/>
      <c r="C42" s="25"/>
      <c r="D42" s="25"/>
      <c r="E42" s="25"/>
      <c r="F42" s="25"/>
    </row>
    <row r="43" customFormat="false" ht="22.5" hidden="false" customHeight="true" outlineLevel="0" collapsed="false">
      <c r="A43" s="25" t="s">
        <v>64</v>
      </c>
      <c r="B43" s="25"/>
      <c r="C43" s="25"/>
      <c r="D43" s="25"/>
      <c r="E43" s="25"/>
      <c r="F43" s="25"/>
    </row>
    <row r="44" customFormat="false" ht="22.5" hidden="false" customHeight="true" outlineLevel="0" collapsed="false">
      <c r="A44" s="25" t="s">
        <v>65</v>
      </c>
      <c r="B44" s="25"/>
      <c r="C44" s="25"/>
      <c r="D44" s="25"/>
      <c r="E44" s="25"/>
      <c r="F44" s="25"/>
    </row>
    <row r="45" customFormat="false" ht="22.5" hidden="false" customHeight="true" outlineLevel="0" collapsed="false">
      <c r="A45" s="25" t="s">
        <v>66</v>
      </c>
      <c r="B45" s="25"/>
      <c r="C45" s="25"/>
      <c r="D45" s="25"/>
      <c r="E45" s="25"/>
      <c r="F45" s="25"/>
    </row>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68">
    <mergeCell ref="A1:N2"/>
    <mergeCell ref="A3:N3"/>
    <mergeCell ref="A5:F5"/>
    <mergeCell ref="H5:N5"/>
    <mergeCell ref="A6:D6"/>
    <mergeCell ref="E6:F6"/>
    <mergeCell ref="H6:N6"/>
    <mergeCell ref="A7:D7"/>
    <mergeCell ref="E7:F7"/>
    <mergeCell ref="H7:N9"/>
    <mergeCell ref="A8:D8"/>
    <mergeCell ref="A9:D9"/>
    <mergeCell ref="A10:D10"/>
    <mergeCell ref="H10:N10"/>
    <mergeCell ref="A11:D11"/>
    <mergeCell ref="A12:D12"/>
    <mergeCell ref="H12:K12"/>
    <mergeCell ref="L12:N12"/>
    <mergeCell ref="A13:D13"/>
    <mergeCell ref="E13:F13"/>
    <mergeCell ref="H13:K13"/>
    <mergeCell ref="L13:N13"/>
    <mergeCell ref="A14:D14"/>
    <mergeCell ref="E14:F14"/>
    <mergeCell ref="H14:K14"/>
    <mergeCell ref="L14:N14"/>
    <mergeCell ref="A15:D15"/>
    <mergeCell ref="H15:K15"/>
    <mergeCell ref="L15:N15"/>
    <mergeCell ref="A16:D16"/>
    <mergeCell ref="H16:K16"/>
    <mergeCell ref="L16:N16"/>
    <mergeCell ref="A17:D17"/>
    <mergeCell ref="H17:K17"/>
    <mergeCell ref="L17:N17"/>
    <mergeCell ref="A18:D18"/>
    <mergeCell ref="H18:K18"/>
    <mergeCell ref="L18:N18"/>
    <mergeCell ref="A19:F19"/>
    <mergeCell ref="H19:K19"/>
    <mergeCell ref="L19:N19"/>
    <mergeCell ref="A20:D20"/>
    <mergeCell ref="E20:F20"/>
    <mergeCell ref="A21:D21"/>
    <mergeCell ref="H21:N21"/>
    <mergeCell ref="A22:D22"/>
    <mergeCell ref="H22:N24"/>
    <mergeCell ref="A23:D23"/>
    <mergeCell ref="A24:D24"/>
    <mergeCell ref="A25:D25"/>
    <mergeCell ref="A26:D26"/>
    <mergeCell ref="A28:F28"/>
    <mergeCell ref="A29:D29"/>
    <mergeCell ref="A30:D30"/>
    <mergeCell ref="A31:D31"/>
    <mergeCell ref="A32:D32"/>
    <mergeCell ref="A33:D33"/>
    <mergeCell ref="A34:D34"/>
    <mergeCell ref="E34:F34"/>
    <mergeCell ref="A35:F35"/>
    <mergeCell ref="A36:F36"/>
    <mergeCell ref="A37:F37"/>
    <mergeCell ref="A38:F38"/>
    <mergeCell ref="A40:F41"/>
    <mergeCell ref="A42:F42"/>
    <mergeCell ref="A43:F43"/>
    <mergeCell ref="A44:F44"/>
    <mergeCell ref="A45:F45"/>
  </mergeCells>
  <conditionalFormatting sqref="H22:N24">
    <cfRule type="expression" priority="2" aboveAverage="0" equalAverage="0" bottom="0" percent="0" rank="0" text="" dxfId="0">
      <formula>LEFT($H$22,4)="FEIL"</formula>
    </cfRule>
    <cfRule type="expression" priority="3" aboveAverage="0" equalAverage="0" bottom="0" percent="0" rank="0" text="" dxfId="1">
      <formula>LEFT($H$22,8)="ADVARSEL"</formula>
    </cfRule>
  </conditionalFormatting>
  <dataValidations xmlns="http://schemas.openxmlformats.org/spreadsheetml/2006/main" count="19">
    <dataValidation sqref="E6" showDropDown="0" showInputMessage="1" showErrorMessage="1" allowBlank="1" errorTitle="Ugyldig valg" error="Velg fra listen, eller bruk et felt for egne verdier." promptTitle="Velg verdi" prompt="Bruk nedtrekkslisten. Blå felt kan redigeres." type="list">
      <formula1>Rorserier</formula1>
    </dataValidation>
    <dataValidation sqref="E7" showDropDown="0" showInputMessage="1" showErrorMessage="1" allowBlank="1" errorTitle="Ugyldig valg" error="Velg fra listen, eller bruk et felt for egne verdier." promptTitle="Velg verdi" prompt="Bruk nedtrekkslisten. Blå felt kan redigeres." type="list">
      <formula1>INDIRECT(IF($E$6="Metrisk OD","MetriskeOD","NominelleDN"))</formula1>
    </dataValidation>
    <dataValidation sqref="E13" showDropDown="0" showInputMessage="1" showErrorMessage="1" allowBlank="1" errorTitle="Ugyldig valg" error="Velg fra listen, eller bruk et felt for egne verdier." promptTitle="Velg verdi" prompt="Bruk nedtrekkslisten. Blå felt kan redigeres." type="list">
      <formula1>Materialvalg</formula1>
    </dataValidation>
    <dataValidation sqref="E14" showDropDown="0" showInputMessage="1" showErrorMessage="1" allowBlank="1" errorTitle="Ugyldig valg" error="Velg fra listen, eller bruk et felt for egne verdier." promptTitle="Velg verdi" prompt="Bruk nedtrekkslisten. Blå felt kan redigeres." type="list">
      <formula1>ENStandarder</formula1>
    </dataValidation>
    <dataValidation sqref="E20" showDropDown="0" showInputMessage="1" showErrorMessage="1" allowBlank="1" errorTitle="Ugyldig valg" error="Velg fra listen, eller bruk et felt for egne verdier." promptTitle="Velg verdi" prompt="Bruk nedtrekkslisten. Blå felt kan redigeres." type="list">
      <formula1>Medievalg</formula1>
    </dataValidation>
    <dataValidation sqref="E9" showDropDown="0" showInputMessage="0" showErrorMessage="1" allowBlank="1" errorTitle="Ugyldig tall" error="Oppgi et tall mellom 0 og 1000000000.0." type="decimal" operator="between">
      <formula1>0</formula1>
      <formula2>1000000000.0</formula2>
    </dataValidation>
    <dataValidation sqref="E10" showDropDown="0" showInputMessage="0" showErrorMessage="1" allowBlank="1" errorTitle="Ugyldig tall" error="Oppgi et tall mellom 0 og 1000000000.0." type="decimal" operator="between">
      <formula1>0</formula1>
      <formula2>1000000000.0</formula2>
    </dataValidation>
    <dataValidation sqref="E11" showDropDown="0" showInputMessage="0" showErrorMessage="1" allowBlank="1" errorTitle="Ugyldig tall" error="Oppgi et tall mellom 0 og 1000000000.0." type="decimal" operator="between">
      <formula1>0</formula1>
      <formula2>1000000000.0</formula2>
    </dataValidation>
    <dataValidation sqref="E16" showDropDown="0" showInputMessage="0" showErrorMessage="1" allowBlank="1" errorTitle="Ugyldig tall" error="Oppgi et tall mellom 0 og 1000000000.0." type="decimal" operator="between">
      <formula1>0</formula1>
      <formula2>1000000000.0</formula2>
    </dataValidation>
    <dataValidation sqref="E23" showDropDown="0" showInputMessage="0" showErrorMessage="1" allowBlank="1" errorTitle="Ugyldig tall" error="Oppgi et tall mellom 0 og 1000000000.0." type="decimal" operator="between">
      <formula1>0</formula1>
      <formula2>1000000000.0</formula2>
    </dataValidation>
    <dataValidation sqref="E24" showDropDown="0" showInputMessage="0" showErrorMessage="1" allowBlank="1" errorTitle="Ugyldig tall" error="Oppgi et tall mellom 0 og 1000000000.0." type="decimal" operator="between">
      <formula1>0</formula1>
      <formula2>1000000000.0</formula2>
    </dataValidation>
    <dataValidation sqref="E25" showDropDown="0" showInputMessage="0" showErrorMessage="1" allowBlank="1" errorTitle="Ugyldig tall" error="Oppgi et tall mellom 0 og 1000000000.0." type="decimal" operator="between">
      <formula1>0</formula1>
      <formula2>1000000000.0</formula2>
    </dataValidation>
    <dataValidation sqref="E29" showDropDown="0" showInputMessage="0" showErrorMessage="1" allowBlank="1" errorTitle="Ugyldig tall" error="Oppgi et tall mellom 0 og 1000000000.0." type="decimal" operator="between">
      <formula1>0</formula1>
      <formula2>1000000000.0</formula2>
    </dataValidation>
    <dataValidation sqref="E30" showDropDown="0" showInputMessage="0" showErrorMessage="1" allowBlank="1" errorTitle="Ugyldig tall" error="Oppgi et tall mellom 0 og 1000000000.0." type="decimal" operator="between">
      <formula1>0</formula1>
      <formula2>1000000000.0</formula2>
    </dataValidation>
    <dataValidation sqref="E31" showDropDown="0" showInputMessage="0" showErrorMessage="1" allowBlank="1" errorTitle="Ugyldig tall" error="Oppgi et tall mellom 0 og 1000000000.0." type="decimal" operator="between">
      <formula1>0</formula1>
      <formula2>1000000000.0</formula2>
    </dataValidation>
    <dataValidation sqref="E17" showDropDown="0" showInputMessage="0" showErrorMessage="1" allowBlank="1" errorTitle="Ugyldig tall" error="Oppgi et heltall mellom 0 og 100000." type="whole" operator="between">
      <formula1>0</formula1>
      <formula2>100000</formula2>
    </dataValidation>
    <dataValidation sqref="E18" showDropDown="0" showInputMessage="0" showErrorMessage="1" allowBlank="1" errorTitle="Ugyldig tall" error="Oppgi et tall mellom 0 og 1000000000.0." type="decimal" operator="between">
      <formula1>0</formula1>
      <formula2>1000000000.0</formula2>
    </dataValidation>
    <dataValidation sqref="E33" showDropDown="0" showInputMessage="0" showErrorMessage="1" allowBlank="1" errorTitle="Ugyldig tall" error="Oppgi et tall mellom -1 og 10000." type="decimal" operator="between">
      <formula1>-1</formula1>
      <formula2>10000</formula2>
    </dataValidation>
    <dataValidation sqref="E34" showDropDown="0" showInputMessage="1" showErrorMessage="1" allowBlank="1" errorTitle="Ugyldig valg" error="Velg fra listen, eller bruk et felt for egne verdier." promptTitle="Velg verdi" prompt="Bruk nedtrekkslisten. Blå felt kan redigeres." type="list">
      <formula1>"Hoveddimensjon,Rørstrekk-tabell"</formula1>
    </dataValidation>
  </dataValidations>
  <hyperlinks>
    <hyperlink ref="A36" r:id="rId2" location="'Bend'!A1" display="Bend, Y- og T-stykker →"/>
    <hyperlink ref="A37" r:id="rId3" location="'Ventiler'!A1" display="Ventiler: antall og Δp per ventil →"/>
    <hyperlink ref="A38" r:id="rId4" location="'Komponenter'!A1" display="Andre komponenter: antall og Δp →"/>
    <hyperlink ref="A42" r:id="rId5" location="'Reduksjoner'!A1" display="Reduksjoner og endehastighet →"/>
    <hyperlink ref="A43" r:id="rId6" location="'Rørstrekk'!A1" display="Rette rør med flere diametre →"/>
    <hyperlink ref="A44" r:id="rId7" location="'Rørstyrke'!A1" display="Styrkeberegning og sikkerhetsfaktor →"/>
    <hyperlink ref="A45" r:id="rId8" location="'Ventilkatalog'!A1" display="Fagerberg: katalog og datakilder →"/>
  </hyperlink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9"/>
  <legacyDrawing r:id="rId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M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3" min="2" style="0" width="12"/>
    <col collapsed="false" customWidth="true" hidden="false" outlineLevel="0" max="4" min="4" style="0" width="14"/>
    <col collapsed="false" customWidth="true" hidden="false" outlineLevel="0" max="5" min="5" style="0" width="28"/>
    <col collapsed="false" customWidth="true" hidden="false" outlineLevel="0" max="6" min="6" style="0" width="15"/>
    <col collapsed="false" customWidth="true" hidden="false" outlineLevel="0" max="7" min="7" style="0" width="3"/>
    <col collapsed="false" customWidth="true" hidden="false" outlineLevel="0" max="8" min="8" style="0" width="17"/>
    <col collapsed="false" customWidth="true" hidden="false" outlineLevel="0" max="11" min="9" style="0" width="14"/>
    <col collapsed="false" customWidth="true" hidden="false" outlineLevel="0" max="13" min="12" style="0" width="16"/>
  </cols>
  <sheetData>
    <row r="1" customFormat="false" ht="22.5" hidden="false" customHeight="true" outlineLevel="0" collapsed="false">
      <c r="A1" s="1" t="s">
        <v>67</v>
      </c>
      <c r="B1" s="1"/>
      <c r="C1" s="1"/>
      <c r="D1" s="1"/>
      <c r="E1" s="1"/>
      <c r="F1" s="1"/>
      <c r="G1" s="1"/>
      <c r="H1" s="1"/>
      <c r="I1" s="1"/>
      <c r="J1" s="1"/>
      <c r="K1" s="1"/>
      <c r="L1" s="1"/>
      <c r="M1" s="1"/>
    </row>
    <row r="2" customFormat="false" ht="22.5" hidden="false" customHeight="true" outlineLevel="0" collapsed="false">
      <c r="A2" s="1"/>
      <c r="B2" s="1"/>
      <c r="C2" s="1"/>
      <c r="D2" s="1"/>
      <c r="E2" s="1"/>
      <c r="F2" s="1"/>
      <c r="G2" s="1"/>
      <c r="H2" s="1"/>
      <c r="I2" s="1"/>
      <c r="J2" s="1"/>
      <c r="K2" s="1"/>
      <c r="L2" s="1"/>
      <c r="M2" s="1"/>
    </row>
    <row r="3" customFormat="false" ht="22.5" hidden="false" customHeight="true" outlineLevel="0" collapsed="false">
      <c r="A3" s="2" t="s">
        <v>68</v>
      </c>
      <c r="B3" s="2"/>
      <c r="C3" s="2"/>
      <c r="D3" s="2"/>
      <c r="E3" s="2"/>
      <c r="F3" s="2"/>
      <c r="G3" s="2"/>
      <c r="H3" s="2"/>
      <c r="I3" s="2"/>
      <c r="J3" s="2"/>
      <c r="K3" s="2"/>
      <c r="L3" s="2"/>
      <c r="M3" s="2"/>
    </row>
    <row r="4" customFormat="false" ht="22.5" hidden="false" customHeight="true" outlineLevel="0" collapsed="false"/>
    <row r="5" customFormat="false" ht="22.5" hidden="false" customHeight="true" outlineLevel="0" collapsed="false">
      <c r="A5" s="24" t="s">
        <v>69</v>
      </c>
      <c r="B5" s="24"/>
      <c r="C5" s="24"/>
      <c r="D5" s="24"/>
      <c r="E5" s="24"/>
      <c r="F5" s="24"/>
      <c r="H5" s="22" t="s">
        <v>70</v>
      </c>
      <c r="I5" s="22"/>
      <c r="J5" s="22"/>
      <c r="K5" s="22"/>
      <c r="L5" s="22"/>
      <c r="M5" s="22"/>
    </row>
    <row r="6" customFormat="false" ht="27.75" hidden="false" customHeight="true" outlineLevel="0" collapsed="false">
      <c r="A6" s="5" t="s">
        <v>71</v>
      </c>
      <c r="B6" s="5"/>
      <c r="C6" s="5"/>
      <c r="D6" s="5"/>
      <c r="E6" s="16" t="n">
        <v>10</v>
      </c>
      <c r="F6" s="27" t="s">
        <v>72</v>
      </c>
      <c r="H6" s="28" t="str">
        <f aca="false">E39</f>
        <v>MANGLER: dokumentert flytegrense ved temperatur, kilde og bekreftelse.</v>
      </c>
      <c r="I6" s="28"/>
      <c r="J6" s="28"/>
      <c r="K6" s="28"/>
      <c r="L6" s="28"/>
      <c r="M6" s="28"/>
    </row>
    <row r="7" customFormat="false" ht="27.75" hidden="false" customHeight="true" outlineLevel="0" collapsed="false">
      <c r="A7" s="5" t="s">
        <v>73</v>
      </c>
      <c r="B7" s="5"/>
      <c r="C7" s="5"/>
      <c r="D7" s="5"/>
      <c r="E7" s="16" t="n">
        <f aca="false">Trykkberegning!E8</f>
        <v>88.9</v>
      </c>
      <c r="F7" s="27" t="s">
        <v>10</v>
      </c>
      <c r="H7" s="28"/>
      <c r="I7" s="28"/>
      <c r="J7" s="28"/>
      <c r="K7" s="28"/>
      <c r="L7" s="28"/>
      <c r="M7" s="28"/>
    </row>
    <row r="8" customFormat="false" ht="27.75" hidden="false" customHeight="true" outlineLevel="0" collapsed="false">
      <c r="A8" s="5" t="s">
        <v>74</v>
      </c>
      <c r="B8" s="5"/>
      <c r="C8" s="5"/>
      <c r="D8" s="5"/>
      <c r="E8" s="16" t="n">
        <f aca="false">Trykkberegning!E10</f>
        <v>3.2</v>
      </c>
      <c r="F8" s="27" t="s">
        <v>10</v>
      </c>
      <c r="H8" s="28"/>
      <c r="I8" s="28"/>
      <c r="J8" s="28"/>
      <c r="K8" s="28"/>
      <c r="L8" s="28"/>
      <c r="M8" s="28"/>
    </row>
    <row r="9" customFormat="false" ht="27.75" hidden="false" customHeight="true" outlineLevel="0" collapsed="false">
      <c r="A9" s="5" t="s">
        <v>75</v>
      </c>
      <c r="B9" s="5"/>
      <c r="C9" s="5"/>
      <c r="D9" s="5"/>
      <c r="E9" s="16" t="n">
        <v>0</v>
      </c>
      <c r="F9" s="27" t="s">
        <v>76</v>
      </c>
    </row>
    <row r="10" customFormat="false" ht="27.75" hidden="false" customHeight="true" outlineLevel="0" collapsed="false">
      <c r="A10" s="5" t="s">
        <v>77</v>
      </c>
      <c r="B10" s="5"/>
      <c r="C10" s="5"/>
      <c r="D10" s="5"/>
      <c r="E10" s="16" t="n">
        <v>0</v>
      </c>
      <c r="F10" s="27" t="s">
        <v>10</v>
      </c>
      <c r="H10" s="2" t="s">
        <v>78</v>
      </c>
      <c r="I10" s="2"/>
      <c r="J10" s="2"/>
      <c r="K10" s="2"/>
      <c r="L10" s="2"/>
      <c r="M10" s="2"/>
    </row>
    <row r="11" customFormat="false" ht="22.5" hidden="false" customHeight="true" outlineLevel="0" collapsed="false">
      <c r="A11" s="5" t="s">
        <v>79</v>
      </c>
      <c r="B11" s="5"/>
      <c r="C11" s="5"/>
      <c r="D11" s="5"/>
      <c r="E11" s="14" t="n">
        <f aca="false">IFERROR(E8*(1-E9/100)-E10,0)</f>
        <v>3.2</v>
      </c>
      <c r="F11" s="27" t="s">
        <v>10</v>
      </c>
      <c r="H11" s="29" t="str">
        <f aca="false">IF(E39="OK",E30,"")</f>
        <v/>
      </c>
      <c r="I11" s="29"/>
      <c r="J11" s="29"/>
      <c r="K11" s="29"/>
      <c r="L11" s="29"/>
      <c r="M11" s="29"/>
    </row>
    <row r="12" customFormat="false" ht="27.75" hidden="false" customHeight="true" outlineLevel="0" collapsed="false">
      <c r="A12" s="5" t="s">
        <v>80</v>
      </c>
      <c r="B12" s="5"/>
      <c r="C12" s="5"/>
      <c r="D12" s="5"/>
      <c r="E12" s="16" t="n">
        <v>20</v>
      </c>
      <c r="F12" s="27" t="s">
        <v>81</v>
      </c>
      <c r="H12" s="29"/>
      <c r="I12" s="29"/>
      <c r="J12" s="29"/>
      <c r="K12" s="29"/>
      <c r="L12" s="29"/>
      <c r="M12" s="29"/>
    </row>
    <row r="13" customFormat="false" ht="27.75" hidden="false" customHeight="true" outlineLevel="0" collapsed="false">
      <c r="A13" s="5" t="s">
        <v>82</v>
      </c>
      <c r="B13" s="5"/>
      <c r="C13" s="5"/>
      <c r="D13" s="5"/>
      <c r="E13" s="16"/>
      <c r="F13" s="27" t="s">
        <v>83</v>
      </c>
      <c r="H13" s="29"/>
      <c r="I13" s="29"/>
      <c r="J13" s="29"/>
      <c r="K13" s="29"/>
      <c r="L13" s="29"/>
      <c r="M13" s="29"/>
    </row>
    <row r="14" customFormat="false" ht="37.5" hidden="false" customHeight="true" outlineLevel="0" collapsed="false">
      <c r="A14" s="5" t="s">
        <v>84</v>
      </c>
      <c r="B14" s="5"/>
      <c r="C14" s="5"/>
      <c r="D14" s="5"/>
      <c r="E14" s="16"/>
      <c r="F14" s="16"/>
    </row>
    <row r="15" customFormat="false" ht="27.75" hidden="false" customHeight="true" outlineLevel="0" collapsed="false">
      <c r="A15" s="5" t="s">
        <v>85</v>
      </c>
      <c r="B15" s="5"/>
      <c r="C15" s="5"/>
      <c r="D15" s="5"/>
      <c r="E15" s="16" t="n">
        <v>1.5</v>
      </c>
      <c r="F15" s="27" t="s">
        <v>31</v>
      </c>
      <c r="H15" s="5" t="s">
        <v>86</v>
      </c>
      <c r="I15" s="5"/>
      <c r="J15" s="5"/>
      <c r="K15" s="5"/>
      <c r="L15" s="30" t="str">
        <f aca="false">IF(E39="OK",E26,"")</f>
        <v/>
      </c>
      <c r="M15" s="30"/>
    </row>
    <row r="16" customFormat="false" ht="27.75" hidden="false" customHeight="true" outlineLevel="0" collapsed="false">
      <c r="A16" s="5" t="s">
        <v>87</v>
      </c>
      <c r="B16" s="5"/>
      <c r="C16" s="5"/>
      <c r="D16" s="5"/>
      <c r="E16" s="16" t="n">
        <v>1</v>
      </c>
      <c r="F16" s="27" t="s">
        <v>31</v>
      </c>
      <c r="H16" s="5" t="s">
        <v>88</v>
      </c>
      <c r="I16" s="5"/>
      <c r="J16" s="5"/>
      <c r="K16" s="5"/>
      <c r="L16" s="30" t="str">
        <f aca="false">IF(E39="OK",E27,"")</f>
        <v/>
      </c>
      <c r="M16" s="30"/>
    </row>
    <row r="17" customFormat="false" ht="37.5" hidden="false" customHeight="true" outlineLevel="0" collapsed="false">
      <c r="A17" s="5" t="s">
        <v>89</v>
      </c>
      <c r="B17" s="5"/>
      <c r="C17" s="5"/>
      <c r="D17" s="5"/>
      <c r="E17" s="16" t="s">
        <v>90</v>
      </c>
      <c r="F17" s="16"/>
      <c r="H17" s="5" t="s">
        <v>91</v>
      </c>
      <c r="I17" s="5"/>
      <c r="J17" s="5"/>
      <c r="K17" s="5"/>
      <c r="L17" s="31" t="str">
        <f aca="false">IF(E39="OK",E28,"")</f>
        <v/>
      </c>
      <c r="M17" s="31"/>
    </row>
    <row r="18" customFormat="false" ht="22.5" hidden="false" customHeight="true" outlineLevel="0" collapsed="false">
      <c r="H18" s="5" t="s">
        <v>92</v>
      </c>
      <c r="I18" s="5"/>
      <c r="J18" s="5"/>
      <c r="K18" s="5"/>
      <c r="L18" s="32" t="str">
        <f aca="false">IF(E39="OK",E29,"")</f>
        <v/>
      </c>
      <c r="M18" s="32"/>
    </row>
    <row r="19" customFormat="false" ht="22.5" hidden="false" customHeight="true" outlineLevel="0" collapsed="false">
      <c r="A19" s="33" t="str">
        <f aca="false">"Materialvalg fra hovedfanen: "&amp;Trykkberegning!E13</f>
        <v>Materialvalg fra hovedfanen: P235GH – karbonstål</v>
      </c>
      <c r="B19" s="33"/>
      <c r="C19" s="33"/>
      <c r="D19" s="33"/>
      <c r="E19" s="33"/>
      <c r="F19" s="33"/>
      <c r="H19" s="5" t="s">
        <v>93</v>
      </c>
      <c r="I19" s="5"/>
      <c r="J19" s="5"/>
      <c r="K19" s="5"/>
      <c r="L19" s="34" t="str">
        <f aca="false">IF(E39="OK",E31,"")</f>
        <v/>
      </c>
      <c r="M19" s="34"/>
    </row>
    <row r="20" customFormat="false" ht="22.5" hidden="false" customHeight="true" outlineLevel="0" collapsed="false">
      <c r="A20" s="33"/>
      <c r="B20" s="33"/>
      <c r="C20" s="33"/>
      <c r="D20" s="33"/>
      <c r="E20" s="33"/>
      <c r="F20" s="33"/>
      <c r="H20" s="5" t="s">
        <v>94</v>
      </c>
      <c r="I20" s="5"/>
      <c r="J20" s="5"/>
      <c r="K20" s="5"/>
      <c r="L20" s="34" t="str">
        <f aca="false">IF(E39="OK",E32,"")</f>
        <v/>
      </c>
      <c r="M20" s="34"/>
    </row>
    <row r="21" customFormat="false" ht="22.5" hidden="false" customHeight="true" outlineLevel="0" collapsed="false">
      <c r="A21" s="5" t="s">
        <v>95</v>
      </c>
      <c r="B21" s="5"/>
      <c r="C21" s="5"/>
      <c r="D21" s="5"/>
      <c r="E21" s="35" t="str">
        <f aca="false">IFERROR(IF(E39="OK",E7/2,""),"")</f>
        <v/>
      </c>
      <c r="F21" s="27" t="s">
        <v>10</v>
      </c>
    </row>
    <row r="22" customFormat="false" ht="22.5" hidden="false" customHeight="true" outlineLevel="0" collapsed="false">
      <c r="A22" s="5" t="s">
        <v>96</v>
      </c>
      <c r="B22" s="5"/>
      <c r="C22" s="5"/>
      <c r="D22" s="5"/>
      <c r="E22" s="35" t="str">
        <f aca="false">IFERROR(IF(E39="OK",E21-E11,""),"")</f>
        <v/>
      </c>
      <c r="F22" s="27" t="s">
        <v>10</v>
      </c>
      <c r="H22" s="28" t="str">
        <f aca="false">IF(E39&lt;&gt;"OK",E39,IF(E29&lt;=1,"KRAV OPPFYLT i idealisert modell for indre overtrykk.","KRAV IKKE OPPFYLT ved valgt sikkerhetsfaktor."))</f>
        <v>MANGLER: dokumentert flytegrense ved temperatur, kilde og bekreftelse.</v>
      </c>
      <c r="I22" s="28"/>
      <c r="J22" s="28"/>
      <c r="K22" s="28"/>
      <c r="L22" s="28"/>
      <c r="M22" s="28"/>
    </row>
    <row r="23" customFormat="false" ht="22.5" hidden="false" customHeight="true" outlineLevel="0" collapsed="false">
      <c r="A23" s="5" t="s">
        <v>97</v>
      </c>
      <c r="B23" s="5"/>
      <c r="C23" s="5"/>
      <c r="D23" s="5"/>
      <c r="E23" s="35" t="str">
        <f aca="false">IFERROR(IF(E39="OK",(E6/10)*(E21^2+E22^2)/(E21^2-E22^2),""),"")</f>
        <v/>
      </c>
      <c r="F23" s="27" t="s">
        <v>83</v>
      </c>
      <c r="H23" s="28"/>
      <c r="I23" s="28"/>
      <c r="J23" s="28"/>
      <c r="K23" s="28"/>
      <c r="L23" s="28"/>
      <c r="M23" s="28"/>
    </row>
    <row r="24" customFormat="false" ht="22.5" hidden="false" customHeight="true" outlineLevel="0" collapsed="false">
      <c r="A24" s="5" t="s">
        <v>98</v>
      </c>
      <c r="B24" s="5"/>
      <c r="C24" s="5"/>
      <c r="D24" s="5"/>
      <c r="E24" s="35" t="str">
        <f aca="false">IFERROR(IF(E39="OK",(E6/10)*E22^2/(E21^2-E22^2),""),"")</f>
        <v/>
      </c>
      <c r="F24" s="27" t="s">
        <v>83</v>
      </c>
      <c r="H24" s="28"/>
      <c r="I24" s="28"/>
      <c r="J24" s="28"/>
      <c r="K24" s="28"/>
      <c r="L24" s="28"/>
      <c r="M24" s="28"/>
    </row>
    <row r="25" customFormat="false" ht="22.5" hidden="false" customHeight="true" outlineLevel="0" collapsed="false">
      <c r="A25" s="5" t="s">
        <v>99</v>
      </c>
      <c r="B25" s="5"/>
      <c r="C25" s="5"/>
      <c r="D25" s="5"/>
      <c r="E25" s="35" t="str">
        <f aca="false">IFERROR(IF(E39="OK",-E6/10,""),"")</f>
        <v/>
      </c>
      <c r="F25" s="27" t="s">
        <v>83</v>
      </c>
    </row>
    <row r="26" customFormat="false" ht="22.5" hidden="false" customHeight="true" outlineLevel="0" collapsed="false">
      <c r="A26" s="5" t="s">
        <v>100</v>
      </c>
      <c r="B26" s="5"/>
      <c r="C26" s="5"/>
      <c r="D26" s="5"/>
      <c r="E26" s="35" t="str">
        <f aca="false">IFERROR(IF(E39="OK",SQRT(((E23-E24)^2+(E24-E25)^2+(E25-E23)^2)/2),""),"")</f>
        <v/>
      </c>
      <c r="F26" s="27" t="s">
        <v>83</v>
      </c>
    </row>
    <row r="27" customFormat="false" ht="22.5" hidden="false" customHeight="true" outlineLevel="0" collapsed="false">
      <c r="A27" s="5" t="s">
        <v>101</v>
      </c>
      <c r="B27" s="5"/>
      <c r="C27" s="5"/>
      <c r="D27" s="5"/>
      <c r="E27" s="35" t="str">
        <f aca="false">IFERROR(IF(E39="OK",E13*E16/E15,""),"")</f>
        <v/>
      </c>
      <c r="F27" s="27" t="s">
        <v>83</v>
      </c>
    </row>
    <row r="28" customFormat="false" ht="22.5" hidden="false" customHeight="true" outlineLevel="0" collapsed="false">
      <c r="A28" s="5" t="s">
        <v>91</v>
      </c>
      <c r="B28" s="5"/>
      <c r="C28" s="5"/>
      <c r="D28" s="5"/>
      <c r="E28" s="35" t="str">
        <f aca="false">IFERROR(IF(E39="OK",IF(E26=0,"∞ (ingen trykklast)",E13*E16/E26),""),"")</f>
        <v/>
      </c>
      <c r="F28" s="27" t="s">
        <v>31</v>
      </c>
    </row>
    <row r="29" customFormat="false" ht="22.5" hidden="false" customHeight="true" outlineLevel="0" collapsed="false">
      <c r="A29" s="5" t="s">
        <v>92</v>
      </c>
      <c r="B29" s="5"/>
      <c r="C29" s="5"/>
      <c r="D29" s="5"/>
      <c r="E29" s="35" t="str">
        <f aca="false">IFERROR(IF(E39="OK",E26/E27,""),"")</f>
        <v/>
      </c>
      <c r="F29" s="27" t="s">
        <v>31</v>
      </c>
    </row>
    <row r="30" customFormat="false" ht="22.5" hidden="false" customHeight="true" outlineLevel="0" collapsed="false">
      <c r="A30" s="5" t="s">
        <v>102</v>
      </c>
      <c r="B30" s="5"/>
      <c r="C30" s="5"/>
      <c r="D30" s="5"/>
      <c r="E30" s="35" t="str">
        <f aca="false">IFERROR(IF(E39="OK",10*E27*(E21^2-E22^2)/(SQRT(3)*E21^2),""),"")</f>
        <v/>
      </c>
      <c r="F30" s="27" t="s">
        <v>72</v>
      </c>
    </row>
    <row r="31" customFormat="false" ht="22.5" hidden="false" customHeight="true" outlineLevel="0" collapsed="false">
      <c r="A31" s="5" t="s">
        <v>103</v>
      </c>
      <c r="B31" s="5"/>
      <c r="C31" s="5"/>
      <c r="D31" s="5"/>
      <c r="E31" s="35" t="str">
        <f aca="false">IFERROR(IF(E39="OK",IF(SQRT(3)*(E6/10)/E27&gt;=1,"Ingen elastisk løsning",E21*(1-SQRT(1-SQRT(3)*(E6/10)/E27))),""),"")</f>
        <v/>
      </c>
      <c r="F31" s="27" t="s">
        <v>10</v>
      </c>
    </row>
    <row r="32" customFormat="false" ht="22.5" hidden="false" customHeight="true" outlineLevel="0" collapsed="false">
      <c r="A32" s="5" t="s">
        <v>104</v>
      </c>
      <c r="B32" s="5"/>
      <c r="C32" s="5"/>
      <c r="D32" s="5"/>
      <c r="E32" s="35" t="str">
        <f aca="false">IFERROR(IF(E39="OK",IF(ISNUMBER(E31),(E31+E10)/(1-E9/100),"Ingen elastisk løsning"),""),"")</f>
        <v/>
      </c>
      <c r="F32" s="27" t="s">
        <v>10</v>
      </c>
    </row>
    <row r="33" customFormat="false" ht="22.5" hidden="false" customHeight="true" outlineLevel="0" collapsed="false"/>
    <row r="34" customFormat="false" ht="22.5" hidden="false" customHeight="true" outlineLevel="0" collapsed="false"/>
    <row r="35" customFormat="false" ht="22.5" hidden="false" customHeight="true" outlineLevel="0" collapsed="false">
      <c r="A35" s="26" t="s">
        <v>105</v>
      </c>
      <c r="B35" s="26"/>
      <c r="C35" s="26"/>
      <c r="D35" s="26"/>
      <c r="E35" s="26"/>
      <c r="F35" s="26"/>
      <c r="G35" s="26"/>
      <c r="H35" s="26"/>
      <c r="I35" s="26"/>
      <c r="J35" s="26"/>
      <c r="K35" s="26"/>
      <c r="L35" s="26"/>
      <c r="M35" s="26"/>
    </row>
    <row r="36" customFormat="false" ht="22.5" hidden="false" customHeight="true" outlineLevel="0" collapsed="false">
      <c r="A36" s="26"/>
      <c r="B36" s="26"/>
      <c r="C36" s="26"/>
      <c r="D36" s="26"/>
      <c r="E36" s="26"/>
      <c r="F36" s="26"/>
      <c r="G36" s="26"/>
      <c r="H36" s="26"/>
      <c r="I36" s="26"/>
      <c r="J36" s="26"/>
      <c r="K36" s="26"/>
      <c r="L36" s="26"/>
      <c r="M36" s="26"/>
    </row>
    <row r="37" customFormat="false" ht="22.5" hidden="false" customHeight="true" outlineLevel="0" collapsed="false">
      <c r="A37" s="26"/>
      <c r="B37" s="26"/>
      <c r="C37" s="26"/>
      <c r="D37" s="26"/>
      <c r="E37" s="26"/>
      <c r="F37" s="26"/>
      <c r="G37" s="26"/>
      <c r="H37" s="26"/>
      <c r="I37" s="26"/>
      <c r="J37" s="26"/>
      <c r="K37" s="26"/>
      <c r="L37" s="26"/>
      <c r="M37" s="26"/>
    </row>
    <row r="38" customFormat="false" ht="22.5" hidden="false" customHeight="true" outlineLevel="0" collapsed="false"/>
    <row r="39" customFormat="false" ht="60" hidden="false" customHeight="true" outlineLevel="0" collapsed="false">
      <c r="E39" s="27" t="str">
        <f aca="false">IFERROR(IF(OR(NOT(ISNUMBER(E6)),E6&lt;0,E6=""),"FEIL: dimensjonerende overtrykk må være &gt;=0.",IF(OR(NOT(ISNUMBER(E7)),E7&lt;=0,NOT(ISNUMBER(E8)),E8&lt;=0,E8&gt;=E7/2),"FEIL: kontroller ytre diameter og metallgods.",IF(OR(NOT(ISNUMBER(E9)),E9&lt;0,E9&gt;=100,NOT(ISNUMBER(E10)),E10&lt;0,E11&lt;=0),"FEIL: kontroller toleranse og korrosjonstillegg.",IF(OR(NOT(ISNUMBER(E12)),E12&lt;=-273.15),"FEIL: oppgi dimensjonerende temperatur.",IF(OR(NOT(ISNUMBER(E13)),E13&lt;=0,E14="",E17&lt;&gt;"Ja"),"MANGLER: dokumentert flytegrense ved temperatur, kilde og bekreftelse.",IF(OR(NOT(ISNUMBER(E15)),E15&lt;1,NOT(ISNUMBER(E16)),E16&lt;=0,E16&gt;1),"FEIL: n må være &gt;=1 og η må være &gt;0 og &lt;=1.","OK")))))),"FEIL: kontroller tallfeltene.")</f>
        <v>MANGLER: dokumentert flytegrense ved temperatur, kilde og bekreftelse.</v>
      </c>
    </row>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48">
    <mergeCell ref="A1:M2"/>
    <mergeCell ref="A3:M3"/>
    <mergeCell ref="A5:F5"/>
    <mergeCell ref="H5:M5"/>
    <mergeCell ref="A6:D6"/>
    <mergeCell ref="H6:M8"/>
    <mergeCell ref="A7:D7"/>
    <mergeCell ref="A8:D8"/>
    <mergeCell ref="A9:D9"/>
    <mergeCell ref="A10:D10"/>
    <mergeCell ref="H10:M10"/>
    <mergeCell ref="A11:D11"/>
    <mergeCell ref="H11:M13"/>
    <mergeCell ref="A12:D12"/>
    <mergeCell ref="A13:D13"/>
    <mergeCell ref="A14:D14"/>
    <mergeCell ref="E14:F14"/>
    <mergeCell ref="A15:D15"/>
    <mergeCell ref="H15:K15"/>
    <mergeCell ref="L15:M15"/>
    <mergeCell ref="A16:D16"/>
    <mergeCell ref="H16:K16"/>
    <mergeCell ref="L16:M16"/>
    <mergeCell ref="A17:D17"/>
    <mergeCell ref="E17:F17"/>
    <mergeCell ref="H17:K17"/>
    <mergeCell ref="L17:M17"/>
    <mergeCell ref="H18:K18"/>
    <mergeCell ref="L18:M18"/>
    <mergeCell ref="A19:F20"/>
    <mergeCell ref="H19:K19"/>
    <mergeCell ref="L19:M19"/>
    <mergeCell ref="H20:K20"/>
    <mergeCell ref="L20:M20"/>
    <mergeCell ref="A21:D21"/>
    <mergeCell ref="A22:D22"/>
    <mergeCell ref="H22:M24"/>
    <mergeCell ref="A23:D23"/>
    <mergeCell ref="A24:D24"/>
    <mergeCell ref="A25:D25"/>
    <mergeCell ref="A26:D26"/>
    <mergeCell ref="A27:D27"/>
    <mergeCell ref="A28:D28"/>
    <mergeCell ref="A29:D29"/>
    <mergeCell ref="A30:D30"/>
    <mergeCell ref="A31:D31"/>
    <mergeCell ref="A32:D32"/>
    <mergeCell ref="A35:M37"/>
  </mergeCells>
  <dataValidations xmlns="http://schemas.openxmlformats.org/spreadsheetml/2006/main" count="10">
    <dataValidation sqref="E6" showDropDown="0" showInputMessage="0" showErrorMessage="1" allowBlank="1" errorTitle="Ugyldig tall" error="Oppgi et tall mellom 0 og 1000000000.0." type="decimal" operator="between">
      <formula1>0</formula1>
      <formula2>1000000000.0</formula2>
    </dataValidation>
    <dataValidation sqref="E7" showDropDown="0" showInputMessage="0" showErrorMessage="1" allowBlank="1" errorTitle="Ugyldig tall" error="Oppgi et tall mellom 1e-09 og 1000000000.0." type="decimal" operator="between">
      <formula1>1e-09</formula1>
      <formula2>1000000000.0</formula2>
    </dataValidation>
    <dataValidation sqref="E8" showDropDown="0" showInputMessage="0" showErrorMessage="1" allowBlank="1" errorTitle="Ugyldig tall" error="Oppgi et tall mellom 1e-09 og 1000000000.0." type="decimal" operator="between">
      <formula1>1e-09</formula1>
      <formula2>1000000000.0</formula2>
    </dataValidation>
    <dataValidation sqref="E9" showDropDown="0" showInputMessage="0" showErrorMessage="1" allowBlank="1" errorTitle="Ugyldig tall" error="Oppgi et tall mellom 0 og 100." type="decimal" operator="between">
      <formula1>0</formula1>
      <formula2>100</formula2>
    </dataValidation>
    <dataValidation sqref="E10" showDropDown="0" showInputMessage="0" showErrorMessage="1" allowBlank="1" errorTitle="Ugyldig tall" error="Oppgi et tall mellom 0 og 1000000000.0." type="decimal" operator="between">
      <formula1>0</formula1>
      <formula2>1000000000.0</formula2>
    </dataValidation>
    <dataValidation sqref="E13" showDropDown="0" showInputMessage="0" showErrorMessage="1" allowBlank="1" errorTitle="Ugyldig tall" error="Oppgi et tall mellom 1e-09 og 1000000000.0." type="decimal" operator="between">
      <formula1>1e-09</formula1>
      <formula2>1000000000.0</formula2>
    </dataValidation>
    <dataValidation sqref="E15" showDropDown="0" showInputMessage="0" showErrorMessage="1" allowBlank="1" errorTitle="Ugyldig tall" error="Oppgi et tall mellom 1e-09 og 1000000000.0." type="decimal" operator="between">
      <formula1>1e-09</formula1>
      <formula2>1000000000.0</formula2>
    </dataValidation>
    <dataValidation sqref="E16" showDropDown="0" showInputMessage="0" showErrorMessage="1" allowBlank="1" errorTitle="Ugyldig tall" error="Oppgi et tall mellom 0 og 1." type="decimal" operator="between">
      <formula1>0</formula1>
      <formula2>1</formula2>
    </dataValidation>
    <dataValidation sqref="E12" showDropDown="0" showInputMessage="0" showErrorMessage="1" allowBlank="1" errorTitle="Ugyldig tall" error="Oppgi et tall mellom -273.14 og 10000." type="decimal" operator="between">
      <formula1>-273.14</formula1>
      <formula2>10000</formula2>
    </dataValidation>
    <dataValidation sqref="E17" showDropDown="0" showInputMessage="1" showErrorMessage="1" allowBlank="1" errorTitle="Ugyldig valg" error="Velg fra listen, eller bruk et felt for egne verdier." promptTitle="Velg verdi" prompt="Bruk nedtrekkslisten. Blå felt kan redigeres." type="list">
      <formula1>"Nei,Ja"</formula1>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L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8"/>
    <col collapsed="false" customWidth="true" hidden="false" outlineLevel="0" max="6" min="5" style="0" width="17"/>
    <col collapsed="false" customWidth="true" hidden="false" outlineLevel="0" max="8" min="7" style="0" width="16"/>
    <col collapsed="false" customWidth="true" hidden="false" outlineLevel="0" max="9" min="9" style="0" width="17"/>
    <col collapsed="false" customWidth="true" hidden="false" outlineLevel="0" max="10" min="10" style="0" width="19"/>
    <col collapsed="false" customWidth="true" hidden="false" outlineLevel="0" max="11" min="11" style="0" width="42"/>
    <col collapsed="false" customWidth="true" hidden="false" outlineLevel="0" max="12" min="12" style="0" width="40"/>
  </cols>
  <sheetData>
    <row r="1" customFormat="false" ht="22.5" hidden="false" customHeight="true" outlineLevel="0" collapsed="false">
      <c r="A1" s="1" t="s">
        <v>106</v>
      </c>
      <c r="B1" s="1"/>
      <c r="C1" s="1"/>
      <c r="D1" s="1"/>
      <c r="E1" s="1"/>
      <c r="F1" s="1"/>
      <c r="G1" s="1"/>
      <c r="H1" s="1"/>
      <c r="I1" s="1"/>
      <c r="J1" s="1"/>
      <c r="K1" s="1"/>
      <c r="L1" s="1"/>
    </row>
    <row r="2" customFormat="false" ht="22.5" hidden="false" customHeight="true" outlineLevel="0" collapsed="false">
      <c r="A2" s="1"/>
      <c r="B2" s="1"/>
      <c r="C2" s="1"/>
      <c r="D2" s="1"/>
      <c r="E2" s="1"/>
      <c r="F2" s="1"/>
      <c r="G2" s="1"/>
      <c r="H2" s="1"/>
      <c r="I2" s="1"/>
      <c r="J2" s="1"/>
      <c r="K2" s="1"/>
      <c r="L2" s="1"/>
    </row>
    <row r="3" customFormat="false" ht="22.5" hidden="false" customHeight="true" outlineLevel="0" collapsed="false">
      <c r="A3" s="2" t="s">
        <v>107</v>
      </c>
      <c r="B3" s="2"/>
      <c r="C3" s="2"/>
      <c r="D3" s="2"/>
      <c r="E3" s="2"/>
      <c r="F3" s="2"/>
      <c r="G3" s="2"/>
      <c r="H3" s="2"/>
      <c r="I3" s="2"/>
      <c r="J3" s="2"/>
      <c r="K3" s="2"/>
      <c r="L3" s="2"/>
    </row>
    <row r="4" customFormat="false" ht="22.5" hidden="false" customHeight="true" outlineLevel="0" collapsed="false">
      <c r="A4" s="5" t="s">
        <v>108</v>
      </c>
      <c r="B4" s="5"/>
      <c r="C4" s="9" t="n">
        <f aca="false">Trykkberegning!E12</f>
        <v>82.5</v>
      </c>
      <c r="D4" s="5" t="s">
        <v>109</v>
      </c>
      <c r="E4" s="5"/>
      <c r="F4" s="9" t="n">
        <f aca="false">IFERROR(LOOKUP(2,1/(B7:B31=1),D7:D31),C4)</f>
        <v>82.5</v>
      </c>
      <c r="G4" s="36" t="s">
        <v>110</v>
      </c>
      <c r="H4" s="36"/>
      <c r="I4" s="36"/>
      <c r="J4" s="36"/>
      <c r="K4" s="36"/>
      <c r="L4" s="36"/>
    </row>
    <row r="5" customFormat="false" ht="22.5" hidden="false" customHeight="true" outlineLevel="0" collapsed="false">
      <c r="A5" s="37" t="s">
        <v>111</v>
      </c>
      <c r="B5" s="37"/>
      <c r="C5" s="37"/>
      <c r="D5" s="37"/>
      <c r="E5" s="37"/>
      <c r="F5" s="37"/>
      <c r="G5" s="37"/>
      <c r="H5" s="37"/>
      <c r="I5" s="37"/>
      <c r="J5" s="37"/>
      <c r="K5" s="37"/>
      <c r="L5" s="37"/>
    </row>
    <row r="6" customFormat="false" ht="37.5" hidden="false" customHeight="true" outlineLevel="0" collapsed="false">
      <c r="A6" s="27" t="s">
        <v>112</v>
      </c>
      <c r="B6" s="27" t="s">
        <v>113</v>
      </c>
      <c r="C6" s="27" t="s">
        <v>114</v>
      </c>
      <c r="D6" s="27" t="s">
        <v>115</v>
      </c>
      <c r="E6" s="27" t="s">
        <v>116</v>
      </c>
      <c r="F6" s="27" t="s">
        <v>117</v>
      </c>
      <c r="G6" s="27" t="s">
        <v>118</v>
      </c>
      <c r="H6" s="27" t="s">
        <v>119</v>
      </c>
      <c r="I6" s="27" t="s">
        <v>120</v>
      </c>
      <c r="J6" s="27" t="s">
        <v>121</v>
      </c>
      <c r="K6" s="27" t="s">
        <v>122</v>
      </c>
      <c r="L6" s="27" t="s">
        <v>123</v>
      </c>
    </row>
    <row r="7" customFormat="false" ht="22.5" hidden="false" customHeight="true" outlineLevel="0" collapsed="false">
      <c r="A7" s="16" t="s">
        <v>124</v>
      </c>
      <c r="B7" s="18" t="n">
        <v>0</v>
      </c>
      <c r="C7" s="16" t="n">
        <f aca="false">Trykkberegning!E12</f>
        <v>82.5</v>
      </c>
      <c r="D7" s="16"/>
      <c r="E7" s="16"/>
      <c r="F7" s="14" t="str">
        <f aca="false">IFERROR(IF(B7=1,IF(E7=0,180,2*DEGREES(ATAN(ABS(C7-D7)/(2*E7)))),""),"")</f>
        <v/>
      </c>
      <c r="G7" s="38" t="str">
        <f aca="false">IFERROR(IF(AND(B7=1,C7&gt;0,D7&gt;0,C7&lt;&gt;D7),IF(C7&gt;D7,IF(F7&lt;45,0.8*SIN(RADIANS(F7)/2)*(1-(MIN(C7,D7)/MAX(C7,D7))^2),0.5*SQRT(SIN(RADIANS(F7)/2))*(1-(MIN(C7,D7)/MAX(C7,D7))^2)),IF(F7&lt;45,2.6*SIN(RADIANS(F7)/2)*(1-(MIN(C7,D7)/MAX(C7,D7))^2)^2,(1-(MIN(C7,D7)/MAX(C7,D7))^2)^2)),""),"")</f>
        <v/>
      </c>
      <c r="H7" s="16"/>
      <c r="I7" s="14" t="str">
        <f aca="false">IFERROR(IF(AND(B7=1,Beregning!$B$3="OK",C7&gt;0,D7&gt;0),Beregning!$B$7/(PI()*(MIN(C7,D7)/1000)^2/4),""),"")</f>
        <v/>
      </c>
      <c r="J7" s="14" t="str">
        <f aca="false">IFERROR(IF(K7="OK",IF(H7&lt;&gt;"",H7,G7)*Beregning!$B$10*I7^2/2000,""),"")</f>
        <v/>
      </c>
      <c r="K7" s="27" t="str">
        <f aca="false">IFERROR(IF(OR(B7="",B7=0),"Ikke med",IF(OR(NOT(ISNUMBER(B7)),B7&lt;&gt;1),"FEIL: med må være 0 eller 1",IF(OR(NOT(ISNUMBER(C7)),C7&lt;=0,NOT(ISNUMBER(D7)),D7&lt;=0,C7=D7),"FEIL: kontroller diametre",IF(ABS(C7-(Trykkberegning!$E$12))&gt;0.000001,"FEIL: ID inn må følge forrige utløp",IF(OR(E7="",NOT(ISNUMBER(E7)),E7&lt;0),"FEIL: oppgi lengde &gt;=0",IF(Beregning!$B$3&lt;&gt;"OK","Venter på inndata",IF(AND(H7&lt;&gt;"",OR(NOT(ISNUMBER(H7)),H7&lt;0)),"FEIL: eget K",IF(AND(H7="",Beregning!$B$10*I7*(MIN(C7,D7)/1000)/Beregning!$B$9&gt;0,Beregning!$B$10*I7*(MIN(C7,D7)/1000)/Beregning!$B$9&lt;4000),"FEIL: oppgi K ved lavt Re","OK")))))))),"FEIL: kontroller tall")</f>
        <v>Ikke med</v>
      </c>
      <c r="L7" s="16"/>
    </row>
    <row r="8" customFormat="false" ht="22.5" hidden="false" customHeight="true" outlineLevel="0" collapsed="false">
      <c r="A8" s="16"/>
      <c r="B8" s="18" t="n">
        <v>0</v>
      </c>
      <c r="C8" s="16"/>
      <c r="D8" s="16"/>
      <c r="E8" s="16"/>
      <c r="F8" s="14" t="str">
        <f aca="false">IFERROR(IF(B8=1,IF(E8=0,180,2*DEGREES(ATAN(ABS(C8-D8)/(2*E8)))),""),"")</f>
        <v/>
      </c>
      <c r="G8" s="38" t="str">
        <f aca="false">IFERROR(IF(AND(B8=1,C8&gt;0,D8&gt;0,C8&lt;&gt;D8),IF(C8&gt;D8,IF(F8&lt;45,0.8*SIN(RADIANS(F8)/2)*(1-(MIN(C8,D8)/MAX(C8,D8))^2),0.5*SQRT(SIN(RADIANS(F8)/2))*(1-(MIN(C8,D8)/MAX(C8,D8))^2)),IF(F8&lt;45,2.6*SIN(RADIANS(F8)/2)*(1-(MIN(C8,D8)/MAX(C8,D8))^2)^2,(1-(MIN(C8,D8)/MAX(C8,D8))^2)^2)),""),"")</f>
        <v/>
      </c>
      <c r="H8" s="16"/>
      <c r="I8" s="14" t="str">
        <f aca="false">IFERROR(IF(AND(B8=1,Beregning!$B$3="OK",C8&gt;0,D8&gt;0),Beregning!$B$7/(PI()*(MIN(C8,D8)/1000)^2/4),""),"")</f>
        <v/>
      </c>
      <c r="J8" s="14" t="str">
        <f aca="false">IFERROR(IF(K8="OK",IF(H8&lt;&gt;"",H8,G8)*Beregning!$B$10*I8^2/2000,""),"")</f>
        <v/>
      </c>
      <c r="K8" s="27" t="str">
        <f aca="false">IFERROR(IF(OR(B8="",B8=0),"Ikke med",IF(OR(NOT(ISNUMBER(B8)),B8&lt;&gt;1),"FEIL: med må være 0 eller 1",IF(OR(NOT(ISNUMBER(C8)),C8&lt;=0,NOT(ISNUMBER(D8)),D8&lt;=0,C8=D8),"FEIL: kontroller diametre",IF(ABS(C8-(IFERROR(LOOKUP(2,1/($B$7:B7=1),$D$7:D7),Trykkberegning!$E$12)))&gt;0.000001,"FEIL: ID inn må følge forrige utløp",IF(OR(E8="",NOT(ISNUMBER(E8)),E8&lt;0),"FEIL: oppgi lengde &gt;=0",IF(Beregning!$B$3&lt;&gt;"OK","Venter på inndata",IF(AND(H8&lt;&gt;"",OR(NOT(ISNUMBER(H8)),H8&lt;0)),"FEIL: eget K",IF(AND(H8="",Beregning!$B$10*I8*(MIN(C8,D8)/1000)/Beregning!$B$9&gt;0,Beregning!$B$10*I8*(MIN(C8,D8)/1000)/Beregning!$B$9&lt;4000),"FEIL: oppgi K ved lavt Re","OK")))))))),"FEIL: kontroller tall")</f>
        <v>Ikke med</v>
      </c>
      <c r="L8" s="16"/>
    </row>
    <row r="9" customFormat="false" ht="22.5" hidden="false" customHeight="true" outlineLevel="0" collapsed="false">
      <c r="A9" s="16"/>
      <c r="B9" s="18" t="n">
        <v>0</v>
      </c>
      <c r="C9" s="16"/>
      <c r="D9" s="16"/>
      <c r="E9" s="16"/>
      <c r="F9" s="14" t="str">
        <f aca="false">IFERROR(IF(B9=1,IF(E9=0,180,2*DEGREES(ATAN(ABS(C9-D9)/(2*E9)))),""),"")</f>
        <v/>
      </c>
      <c r="G9" s="38" t="str">
        <f aca="false">IFERROR(IF(AND(B9=1,C9&gt;0,D9&gt;0,C9&lt;&gt;D9),IF(C9&gt;D9,IF(F9&lt;45,0.8*SIN(RADIANS(F9)/2)*(1-(MIN(C9,D9)/MAX(C9,D9))^2),0.5*SQRT(SIN(RADIANS(F9)/2))*(1-(MIN(C9,D9)/MAX(C9,D9))^2)),IF(F9&lt;45,2.6*SIN(RADIANS(F9)/2)*(1-(MIN(C9,D9)/MAX(C9,D9))^2)^2,(1-(MIN(C9,D9)/MAX(C9,D9))^2)^2)),""),"")</f>
        <v/>
      </c>
      <c r="H9" s="16"/>
      <c r="I9" s="14" t="str">
        <f aca="false">IFERROR(IF(AND(B9=1,Beregning!$B$3="OK",C9&gt;0,D9&gt;0),Beregning!$B$7/(PI()*(MIN(C9,D9)/1000)^2/4),""),"")</f>
        <v/>
      </c>
      <c r="J9" s="14" t="str">
        <f aca="false">IFERROR(IF(K9="OK",IF(H9&lt;&gt;"",H9,G9)*Beregning!$B$10*I9^2/2000,""),"")</f>
        <v/>
      </c>
      <c r="K9" s="27" t="str">
        <f aca="false">IFERROR(IF(OR(B9="",B9=0),"Ikke med",IF(OR(NOT(ISNUMBER(B9)),B9&lt;&gt;1),"FEIL: med må være 0 eller 1",IF(OR(NOT(ISNUMBER(C9)),C9&lt;=0,NOT(ISNUMBER(D9)),D9&lt;=0,C9=D9),"FEIL: kontroller diametre",IF(ABS(C9-(IFERROR(LOOKUP(2,1/($B$7:B8=1),$D$7:D8),Trykkberegning!$E$12)))&gt;0.000001,"FEIL: ID inn må følge forrige utløp",IF(OR(E9="",NOT(ISNUMBER(E9)),E9&lt;0),"FEIL: oppgi lengde &gt;=0",IF(Beregning!$B$3&lt;&gt;"OK","Venter på inndata",IF(AND(H9&lt;&gt;"",OR(NOT(ISNUMBER(H9)),H9&lt;0)),"FEIL: eget K",IF(AND(H9="",Beregning!$B$10*I9*(MIN(C9,D9)/1000)/Beregning!$B$9&gt;0,Beregning!$B$10*I9*(MIN(C9,D9)/1000)/Beregning!$B$9&lt;4000),"FEIL: oppgi K ved lavt Re","OK")))))))),"FEIL: kontroller tall")</f>
        <v>Ikke med</v>
      </c>
      <c r="L9" s="16"/>
    </row>
    <row r="10" customFormat="false" ht="22.5" hidden="false" customHeight="true" outlineLevel="0" collapsed="false">
      <c r="A10" s="16"/>
      <c r="B10" s="18" t="n">
        <v>0</v>
      </c>
      <c r="C10" s="16"/>
      <c r="D10" s="16"/>
      <c r="E10" s="16"/>
      <c r="F10" s="14" t="str">
        <f aca="false">IFERROR(IF(B10=1,IF(E10=0,180,2*DEGREES(ATAN(ABS(C10-D10)/(2*E10)))),""),"")</f>
        <v/>
      </c>
      <c r="G10" s="38" t="str">
        <f aca="false">IFERROR(IF(AND(B10=1,C10&gt;0,D10&gt;0,C10&lt;&gt;D10),IF(C10&gt;D10,IF(F10&lt;45,0.8*SIN(RADIANS(F10)/2)*(1-(MIN(C10,D10)/MAX(C10,D10))^2),0.5*SQRT(SIN(RADIANS(F10)/2))*(1-(MIN(C10,D10)/MAX(C10,D10))^2)),IF(F10&lt;45,2.6*SIN(RADIANS(F10)/2)*(1-(MIN(C10,D10)/MAX(C10,D10))^2)^2,(1-(MIN(C10,D10)/MAX(C10,D10))^2)^2)),""),"")</f>
        <v/>
      </c>
      <c r="H10" s="16"/>
      <c r="I10" s="14" t="str">
        <f aca="false">IFERROR(IF(AND(B10=1,Beregning!$B$3="OK",C10&gt;0,D10&gt;0),Beregning!$B$7/(PI()*(MIN(C10,D10)/1000)^2/4),""),"")</f>
        <v/>
      </c>
      <c r="J10" s="14" t="str">
        <f aca="false">IFERROR(IF(K10="OK",IF(H10&lt;&gt;"",H10,G10)*Beregning!$B$10*I10^2/2000,""),"")</f>
        <v/>
      </c>
      <c r="K10" s="27" t="str">
        <f aca="false">IFERROR(IF(OR(B10="",B10=0),"Ikke med",IF(OR(NOT(ISNUMBER(B10)),B10&lt;&gt;1),"FEIL: med må være 0 eller 1",IF(OR(NOT(ISNUMBER(C10)),C10&lt;=0,NOT(ISNUMBER(D10)),D10&lt;=0,C10=D10),"FEIL: kontroller diametre",IF(ABS(C10-(IFERROR(LOOKUP(2,1/($B$7:B9=1),$D$7:D9),Trykkberegning!$E$12)))&gt;0.000001,"FEIL: ID inn må følge forrige utløp",IF(OR(E10="",NOT(ISNUMBER(E10)),E10&lt;0),"FEIL: oppgi lengde &gt;=0",IF(Beregning!$B$3&lt;&gt;"OK","Venter på inndata",IF(AND(H10&lt;&gt;"",OR(NOT(ISNUMBER(H10)),H10&lt;0)),"FEIL: eget K",IF(AND(H10="",Beregning!$B$10*I10*(MIN(C10,D10)/1000)/Beregning!$B$9&gt;0,Beregning!$B$10*I10*(MIN(C10,D10)/1000)/Beregning!$B$9&lt;4000),"FEIL: oppgi K ved lavt Re","OK")))))))),"FEIL: kontroller tall")</f>
        <v>Ikke med</v>
      </c>
      <c r="L10" s="16"/>
    </row>
    <row r="11" customFormat="false" ht="22.5" hidden="false" customHeight="true" outlineLevel="0" collapsed="false">
      <c r="A11" s="16"/>
      <c r="B11" s="18" t="n">
        <v>0</v>
      </c>
      <c r="C11" s="16"/>
      <c r="D11" s="16"/>
      <c r="E11" s="16"/>
      <c r="F11" s="14" t="str">
        <f aca="false">IFERROR(IF(B11=1,IF(E11=0,180,2*DEGREES(ATAN(ABS(C11-D11)/(2*E11)))),""),"")</f>
        <v/>
      </c>
      <c r="G11" s="38" t="str">
        <f aca="false">IFERROR(IF(AND(B11=1,C11&gt;0,D11&gt;0,C11&lt;&gt;D11),IF(C11&gt;D11,IF(F11&lt;45,0.8*SIN(RADIANS(F11)/2)*(1-(MIN(C11,D11)/MAX(C11,D11))^2),0.5*SQRT(SIN(RADIANS(F11)/2))*(1-(MIN(C11,D11)/MAX(C11,D11))^2)),IF(F11&lt;45,2.6*SIN(RADIANS(F11)/2)*(1-(MIN(C11,D11)/MAX(C11,D11))^2)^2,(1-(MIN(C11,D11)/MAX(C11,D11))^2)^2)),""),"")</f>
        <v/>
      </c>
      <c r="H11" s="16"/>
      <c r="I11" s="14" t="str">
        <f aca="false">IFERROR(IF(AND(B11=1,Beregning!$B$3="OK",C11&gt;0,D11&gt;0),Beregning!$B$7/(PI()*(MIN(C11,D11)/1000)^2/4),""),"")</f>
        <v/>
      </c>
      <c r="J11" s="14" t="str">
        <f aca="false">IFERROR(IF(K11="OK",IF(H11&lt;&gt;"",H11,G11)*Beregning!$B$10*I11^2/2000,""),"")</f>
        <v/>
      </c>
      <c r="K11" s="27" t="str">
        <f aca="false">IFERROR(IF(OR(B11="",B11=0),"Ikke med",IF(OR(NOT(ISNUMBER(B11)),B11&lt;&gt;1),"FEIL: med må være 0 eller 1",IF(OR(NOT(ISNUMBER(C11)),C11&lt;=0,NOT(ISNUMBER(D11)),D11&lt;=0,C11=D11),"FEIL: kontroller diametre",IF(ABS(C11-(IFERROR(LOOKUP(2,1/($B$7:B10=1),$D$7:D10),Trykkberegning!$E$12)))&gt;0.000001,"FEIL: ID inn må følge forrige utløp",IF(OR(E11="",NOT(ISNUMBER(E11)),E11&lt;0),"FEIL: oppgi lengde &gt;=0",IF(Beregning!$B$3&lt;&gt;"OK","Venter på inndata",IF(AND(H11&lt;&gt;"",OR(NOT(ISNUMBER(H11)),H11&lt;0)),"FEIL: eget K",IF(AND(H11="",Beregning!$B$10*I11*(MIN(C11,D11)/1000)/Beregning!$B$9&gt;0,Beregning!$B$10*I11*(MIN(C11,D11)/1000)/Beregning!$B$9&lt;4000),"FEIL: oppgi K ved lavt Re","OK")))))))),"FEIL: kontroller tall")</f>
        <v>Ikke med</v>
      </c>
      <c r="L11" s="16"/>
    </row>
    <row r="12" customFormat="false" ht="22.5" hidden="false" customHeight="true" outlineLevel="0" collapsed="false">
      <c r="A12" s="16"/>
      <c r="B12" s="18" t="n">
        <v>0</v>
      </c>
      <c r="C12" s="16"/>
      <c r="D12" s="16"/>
      <c r="E12" s="16"/>
      <c r="F12" s="14" t="str">
        <f aca="false">IFERROR(IF(B12=1,IF(E12=0,180,2*DEGREES(ATAN(ABS(C12-D12)/(2*E12)))),""),"")</f>
        <v/>
      </c>
      <c r="G12" s="38" t="str">
        <f aca="false">IFERROR(IF(AND(B12=1,C12&gt;0,D12&gt;0,C12&lt;&gt;D12),IF(C12&gt;D12,IF(F12&lt;45,0.8*SIN(RADIANS(F12)/2)*(1-(MIN(C12,D12)/MAX(C12,D12))^2),0.5*SQRT(SIN(RADIANS(F12)/2))*(1-(MIN(C12,D12)/MAX(C12,D12))^2)),IF(F12&lt;45,2.6*SIN(RADIANS(F12)/2)*(1-(MIN(C12,D12)/MAX(C12,D12))^2)^2,(1-(MIN(C12,D12)/MAX(C12,D12))^2)^2)),""),"")</f>
        <v/>
      </c>
      <c r="H12" s="16"/>
      <c r="I12" s="14" t="str">
        <f aca="false">IFERROR(IF(AND(B12=1,Beregning!$B$3="OK",C12&gt;0,D12&gt;0),Beregning!$B$7/(PI()*(MIN(C12,D12)/1000)^2/4),""),"")</f>
        <v/>
      </c>
      <c r="J12" s="14" t="str">
        <f aca="false">IFERROR(IF(K12="OK",IF(H12&lt;&gt;"",H12,G12)*Beregning!$B$10*I12^2/2000,""),"")</f>
        <v/>
      </c>
      <c r="K12" s="27" t="str">
        <f aca="false">IFERROR(IF(OR(B12="",B12=0),"Ikke med",IF(OR(NOT(ISNUMBER(B12)),B12&lt;&gt;1),"FEIL: med må være 0 eller 1",IF(OR(NOT(ISNUMBER(C12)),C12&lt;=0,NOT(ISNUMBER(D12)),D12&lt;=0,C12=D12),"FEIL: kontroller diametre",IF(ABS(C12-(IFERROR(LOOKUP(2,1/($B$7:B11=1),$D$7:D11),Trykkberegning!$E$12)))&gt;0.000001,"FEIL: ID inn må følge forrige utløp",IF(OR(E12="",NOT(ISNUMBER(E12)),E12&lt;0),"FEIL: oppgi lengde &gt;=0",IF(Beregning!$B$3&lt;&gt;"OK","Venter på inndata",IF(AND(H12&lt;&gt;"",OR(NOT(ISNUMBER(H12)),H12&lt;0)),"FEIL: eget K",IF(AND(H12="",Beregning!$B$10*I12*(MIN(C12,D12)/1000)/Beregning!$B$9&gt;0,Beregning!$B$10*I12*(MIN(C12,D12)/1000)/Beregning!$B$9&lt;4000),"FEIL: oppgi K ved lavt Re","OK")))))))),"FEIL: kontroller tall")</f>
        <v>Ikke med</v>
      </c>
      <c r="L12" s="16"/>
    </row>
    <row r="13" customFormat="false" ht="22.5" hidden="false" customHeight="true" outlineLevel="0" collapsed="false">
      <c r="A13" s="16"/>
      <c r="B13" s="18" t="n">
        <v>0</v>
      </c>
      <c r="C13" s="16"/>
      <c r="D13" s="16"/>
      <c r="E13" s="16"/>
      <c r="F13" s="14" t="str">
        <f aca="false">IFERROR(IF(B13=1,IF(E13=0,180,2*DEGREES(ATAN(ABS(C13-D13)/(2*E13)))),""),"")</f>
        <v/>
      </c>
      <c r="G13" s="38" t="str">
        <f aca="false">IFERROR(IF(AND(B13=1,C13&gt;0,D13&gt;0,C13&lt;&gt;D13),IF(C13&gt;D13,IF(F13&lt;45,0.8*SIN(RADIANS(F13)/2)*(1-(MIN(C13,D13)/MAX(C13,D13))^2),0.5*SQRT(SIN(RADIANS(F13)/2))*(1-(MIN(C13,D13)/MAX(C13,D13))^2)),IF(F13&lt;45,2.6*SIN(RADIANS(F13)/2)*(1-(MIN(C13,D13)/MAX(C13,D13))^2)^2,(1-(MIN(C13,D13)/MAX(C13,D13))^2)^2)),""),"")</f>
        <v/>
      </c>
      <c r="H13" s="16"/>
      <c r="I13" s="14" t="str">
        <f aca="false">IFERROR(IF(AND(B13=1,Beregning!$B$3="OK",C13&gt;0,D13&gt;0),Beregning!$B$7/(PI()*(MIN(C13,D13)/1000)^2/4),""),"")</f>
        <v/>
      </c>
      <c r="J13" s="14" t="str">
        <f aca="false">IFERROR(IF(K13="OK",IF(H13&lt;&gt;"",H13,G13)*Beregning!$B$10*I13^2/2000,""),"")</f>
        <v/>
      </c>
      <c r="K13" s="27" t="str">
        <f aca="false">IFERROR(IF(OR(B13="",B13=0),"Ikke med",IF(OR(NOT(ISNUMBER(B13)),B13&lt;&gt;1),"FEIL: med må være 0 eller 1",IF(OR(NOT(ISNUMBER(C13)),C13&lt;=0,NOT(ISNUMBER(D13)),D13&lt;=0,C13=D13),"FEIL: kontroller diametre",IF(ABS(C13-(IFERROR(LOOKUP(2,1/($B$7:B12=1),$D$7:D12),Trykkberegning!$E$12)))&gt;0.000001,"FEIL: ID inn må følge forrige utløp",IF(OR(E13="",NOT(ISNUMBER(E13)),E13&lt;0),"FEIL: oppgi lengde &gt;=0",IF(Beregning!$B$3&lt;&gt;"OK","Venter på inndata",IF(AND(H13&lt;&gt;"",OR(NOT(ISNUMBER(H13)),H13&lt;0)),"FEIL: eget K",IF(AND(H13="",Beregning!$B$10*I13*(MIN(C13,D13)/1000)/Beregning!$B$9&gt;0,Beregning!$B$10*I13*(MIN(C13,D13)/1000)/Beregning!$B$9&lt;4000),"FEIL: oppgi K ved lavt Re","OK")))))))),"FEIL: kontroller tall")</f>
        <v>Ikke med</v>
      </c>
      <c r="L13" s="16"/>
    </row>
    <row r="14" customFormat="false" ht="22.5" hidden="false" customHeight="true" outlineLevel="0" collapsed="false">
      <c r="A14" s="16"/>
      <c r="B14" s="18" t="n">
        <v>0</v>
      </c>
      <c r="C14" s="16"/>
      <c r="D14" s="16"/>
      <c r="E14" s="16"/>
      <c r="F14" s="14" t="str">
        <f aca="false">IFERROR(IF(B14=1,IF(E14=0,180,2*DEGREES(ATAN(ABS(C14-D14)/(2*E14)))),""),"")</f>
        <v/>
      </c>
      <c r="G14" s="38" t="str">
        <f aca="false">IFERROR(IF(AND(B14=1,C14&gt;0,D14&gt;0,C14&lt;&gt;D14),IF(C14&gt;D14,IF(F14&lt;45,0.8*SIN(RADIANS(F14)/2)*(1-(MIN(C14,D14)/MAX(C14,D14))^2),0.5*SQRT(SIN(RADIANS(F14)/2))*(1-(MIN(C14,D14)/MAX(C14,D14))^2)),IF(F14&lt;45,2.6*SIN(RADIANS(F14)/2)*(1-(MIN(C14,D14)/MAX(C14,D14))^2)^2,(1-(MIN(C14,D14)/MAX(C14,D14))^2)^2)),""),"")</f>
        <v/>
      </c>
      <c r="H14" s="16"/>
      <c r="I14" s="14" t="str">
        <f aca="false">IFERROR(IF(AND(B14=1,Beregning!$B$3="OK",C14&gt;0,D14&gt;0),Beregning!$B$7/(PI()*(MIN(C14,D14)/1000)^2/4),""),"")</f>
        <v/>
      </c>
      <c r="J14" s="14" t="str">
        <f aca="false">IFERROR(IF(K14="OK",IF(H14&lt;&gt;"",H14,G14)*Beregning!$B$10*I14^2/2000,""),"")</f>
        <v/>
      </c>
      <c r="K14" s="27" t="str">
        <f aca="false">IFERROR(IF(OR(B14="",B14=0),"Ikke med",IF(OR(NOT(ISNUMBER(B14)),B14&lt;&gt;1),"FEIL: med må være 0 eller 1",IF(OR(NOT(ISNUMBER(C14)),C14&lt;=0,NOT(ISNUMBER(D14)),D14&lt;=0,C14=D14),"FEIL: kontroller diametre",IF(ABS(C14-(IFERROR(LOOKUP(2,1/($B$7:B13=1),$D$7:D13),Trykkberegning!$E$12)))&gt;0.000001,"FEIL: ID inn må følge forrige utløp",IF(OR(E14="",NOT(ISNUMBER(E14)),E14&lt;0),"FEIL: oppgi lengde &gt;=0",IF(Beregning!$B$3&lt;&gt;"OK","Venter på inndata",IF(AND(H14&lt;&gt;"",OR(NOT(ISNUMBER(H14)),H14&lt;0)),"FEIL: eget K",IF(AND(H14="",Beregning!$B$10*I14*(MIN(C14,D14)/1000)/Beregning!$B$9&gt;0,Beregning!$B$10*I14*(MIN(C14,D14)/1000)/Beregning!$B$9&lt;4000),"FEIL: oppgi K ved lavt Re","OK")))))))),"FEIL: kontroller tall")</f>
        <v>Ikke med</v>
      </c>
      <c r="L14" s="16"/>
    </row>
    <row r="15" customFormat="false" ht="22.5" hidden="false" customHeight="true" outlineLevel="0" collapsed="false">
      <c r="A15" s="16"/>
      <c r="B15" s="18" t="n">
        <v>0</v>
      </c>
      <c r="C15" s="16"/>
      <c r="D15" s="16"/>
      <c r="E15" s="16"/>
      <c r="F15" s="14" t="str">
        <f aca="false">IFERROR(IF(B15=1,IF(E15=0,180,2*DEGREES(ATAN(ABS(C15-D15)/(2*E15)))),""),"")</f>
        <v/>
      </c>
      <c r="G15" s="38" t="str">
        <f aca="false">IFERROR(IF(AND(B15=1,C15&gt;0,D15&gt;0,C15&lt;&gt;D15),IF(C15&gt;D15,IF(F15&lt;45,0.8*SIN(RADIANS(F15)/2)*(1-(MIN(C15,D15)/MAX(C15,D15))^2),0.5*SQRT(SIN(RADIANS(F15)/2))*(1-(MIN(C15,D15)/MAX(C15,D15))^2)),IF(F15&lt;45,2.6*SIN(RADIANS(F15)/2)*(1-(MIN(C15,D15)/MAX(C15,D15))^2)^2,(1-(MIN(C15,D15)/MAX(C15,D15))^2)^2)),""),"")</f>
        <v/>
      </c>
      <c r="H15" s="16"/>
      <c r="I15" s="14" t="str">
        <f aca="false">IFERROR(IF(AND(B15=1,Beregning!$B$3="OK",C15&gt;0,D15&gt;0),Beregning!$B$7/(PI()*(MIN(C15,D15)/1000)^2/4),""),"")</f>
        <v/>
      </c>
      <c r="J15" s="14" t="str">
        <f aca="false">IFERROR(IF(K15="OK",IF(H15&lt;&gt;"",H15,G15)*Beregning!$B$10*I15^2/2000,""),"")</f>
        <v/>
      </c>
      <c r="K15" s="27" t="str">
        <f aca="false">IFERROR(IF(OR(B15="",B15=0),"Ikke med",IF(OR(NOT(ISNUMBER(B15)),B15&lt;&gt;1),"FEIL: med må være 0 eller 1",IF(OR(NOT(ISNUMBER(C15)),C15&lt;=0,NOT(ISNUMBER(D15)),D15&lt;=0,C15=D15),"FEIL: kontroller diametre",IF(ABS(C15-(IFERROR(LOOKUP(2,1/($B$7:B14=1),$D$7:D14),Trykkberegning!$E$12)))&gt;0.000001,"FEIL: ID inn må følge forrige utløp",IF(OR(E15="",NOT(ISNUMBER(E15)),E15&lt;0),"FEIL: oppgi lengde &gt;=0",IF(Beregning!$B$3&lt;&gt;"OK","Venter på inndata",IF(AND(H15&lt;&gt;"",OR(NOT(ISNUMBER(H15)),H15&lt;0)),"FEIL: eget K",IF(AND(H15="",Beregning!$B$10*I15*(MIN(C15,D15)/1000)/Beregning!$B$9&gt;0,Beregning!$B$10*I15*(MIN(C15,D15)/1000)/Beregning!$B$9&lt;4000),"FEIL: oppgi K ved lavt Re","OK")))))))),"FEIL: kontroller tall")</f>
        <v>Ikke med</v>
      </c>
      <c r="L15" s="16"/>
    </row>
    <row r="16" customFormat="false" ht="22.5" hidden="false" customHeight="true" outlineLevel="0" collapsed="false">
      <c r="A16" s="16"/>
      <c r="B16" s="18" t="n">
        <v>0</v>
      </c>
      <c r="C16" s="16"/>
      <c r="D16" s="16"/>
      <c r="E16" s="16"/>
      <c r="F16" s="14" t="str">
        <f aca="false">IFERROR(IF(B16=1,IF(E16=0,180,2*DEGREES(ATAN(ABS(C16-D16)/(2*E16)))),""),"")</f>
        <v/>
      </c>
      <c r="G16" s="38" t="str">
        <f aca="false">IFERROR(IF(AND(B16=1,C16&gt;0,D16&gt;0,C16&lt;&gt;D16),IF(C16&gt;D16,IF(F16&lt;45,0.8*SIN(RADIANS(F16)/2)*(1-(MIN(C16,D16)/MAX(C16,D16))^2),0.5*SQRT(SIN(RADIANS(F16)/2))*(1-(MIN(C16,D16)/MAX(C16,D16))^2)),IF(F16&lt;45,2.6*SIN(RADIANS(F16)/2)*(1-(MIN(C16,D16)/MAX(C16,D16))^2)^2,(1-(MIN(C16,D16)/MAX(C16,D16))^2)^2)),""),"")</f>
        <v/>
      </c>
      <c r="H16" s="16"/>
      <c r="I16" s="14" t="str">
        <f aca="false">IFERROR(IF(AND(B16=1,Beregning!$B$3="OK",C16&gt;0,D16&gt;0),Beregning!$B$7/(PI()*(MIN(C16,D16)/1000)^2/4),""),"")</f>
        <v/>
      </c>
      <c r="J16" s="14" t="str">
        <f aca="false">IFERROR(IF(K16="OK",IF(H16&lt;&gt;"",H16,G16)*Beregning!$B$10*I16^2/2000,""),"")</f>
        <v/>
      </c>
      <c r="K16" s="27" t="str">
        <f aca="false">IFERROR(IF(OR(B16="",B16=0),"Ikke med",IF(OR(NOT(ISNUMBER(B16)),B16&lt;&gt;1),"FEIL: med må være 0 eller 1",IF(OR(NOT(ISNUMBER(C16)),C16&lt;=0,NOT(ISNUMBER(D16)),D16&lt;=0,C16=D16),"FEIL: kontroller diametre",IF(ABS(C16-(IFERROR(LOOKUP(2,1/($B$7:B15=1),$D$7:D15),Trykkberegning!$E$12)))&gt;0.000001,"FEIL: ID inn må følge forrige utløp",IF(OR(E16="",NOT(ISNUMBER(E16)),E16&lt;0),"FEIL: oppgi lengde &gt;=0",IF(Beregning!$B$3&lt;&gt;"OK","Venter på inndata",IF(AND(H16&lt;&gt;"",OR(NOT(ISNUMBER(H16)),H16&lt;0)),"FEIL: eget K",IF(AND(H16="",Beregning!$B$10*I16*(MIN(C16,D16)/1000)/Beregning!$B$9&gt;0,Beregning!$B$10*I16*(MIN(C16,D16)/1000)/Beregning!$B$9&lt;4000),"FEIL: oppgi K ved lavt Re","OK")))))))),"FEIL: kontroller tall")</f>
        <v>Ikke med</v>
      </c>
      <c r="L16" s="16"/>
    </row>
    <row r="17" customFormat="false" ht="22.5" hidden="false" customHeight="true" outlineLevel="0" collapsed="false">
      <c r="A17" s="16"/>
      <c r="B17" s="18" t="n">
        <v>0</v>
      </c>
      <c r="C17" s="16"/>
      <c r="D17" s="16"/>
      <c r="E17" s="16"/>
      <c r="F17" s="14" t="str">
        <f aca="false">IFERROR(IF(B17=1,IF(E17=0,180,2*DEGREES(ATAN(ABS(C17-D17)/(2*E17)))),""),"")</f>
        <v/>
      </c>
      <c r="G17" s="38" t="str">
        <f aca="false">IFERROR(IF(AND(B17=1,C17&gt;0,D17&gt;0,C17&lt;&gt;D17),IF(C17&gt;D17,IF(F17&lt;45,0.8*SIN(RADIANS(F17)/2)*(1-(MIN(C17,D17)/MAX(C17,D17))^2),0.5*SQRT(SIN(RADIANS(F17)/2))*(1-(MIN(C17,D17)/MAX(C17,D17))^2)),IF(F17&lt;45,2.6*SIN(RADIANS(F17)/2)*(1-(MIN(C17,D17)/MAX(C17,D17))^2)^2,(1-(MIN(C17,D17)/MAX(C17,D17))^2)^2)),""),"")</f>
        <v/>
      </c>
      <c r="H17" s="16"/>
      <c r="I17" s="14" t="str">
        <f aca="false">IFERROR(IF(AND(B17=1,Beregning!$B$3="OK",C17&gt;0,D17&gt;0),Beregning!$B$7/(PI()*(MIN(C17,D17)/1000)^2/4),""),"")</f>
        <v/>
      </c>
      <c r="J17" s="14" t="str">
        <f aca="false">IFERROR(IF(K17="OK",IF(H17&lt;&gt;"",H17,G17)*Beregning!$B$10*I17^2/2000,""),"")</f>
        <v/>
      </c>
      <c r="K17" s="27" t="str">
        <f aca="false">IFERROR(IF(OR(B17="",B17=0),"Ikke med",IF(OR(NOT(ISNUMBER(B17)),B17&lt;&gt;1),"FEIL: med må være 0 eller 1",IF(OR(NOT(ISNUMBER(C17)),C17&lt;=0,NOT(ISNUMBER(D17)),D17&lt;=0,C17=D17),"FEIL: kontroller diametre",IF(ABS(C17-(IFERROR(LOOKUP(2,1/($B$7:B16=1),$D$7:D16),Trykkberegning!$E$12)))&gt;0.000001,"FEIL: ID inn må følge forrige utløp",IF(OR(E17="",NOT(ISNUMBER(E17)),E17&lt;0),"FEIL: oppgi lengde &gt;=0",IF(Beregning!$B$3&lt;&gt;"OK","Venter på inndata",IF(AND(H17&lt;&gt;"",OR(NOT(ISNUMBER(H17)),H17&lt;0)),"FEIL: eget K",IF(AND(H17="",Beregning!$B$10*I17*(MIN(C17,D17)/1000)/Beregning!$B$9&gt;0,Beregning!$B$10*I17*(MIN(C17,D17)/1000)/Beregning!$B$9&lt;4000),"FEIL: oppgi K ved lavt Re","OK")))))))),"FEIL: kontroller tall")</f>
        <v>Ikke med</v>
      </c>
      <c r="L17" s="16"/>
    </row>
    <row r="18" customFormat="false" ht="22.5" hidden="false" customHeight="true" outlineLevel="0" collapsed="false">
      <c r="A18" s="16"/>
      <c r="B18" s="18" t="n">
        <v>0</v>
      </c>
      <c r="C18" s="16"/>
      <c r="D18" s="16"/>
      <c r="E18" s="16"/>
      <c r="F18" s="14" t="str">
        <f aca="false">IFERROR(IF(B18=1,IF(E18=0,180,2*DEGREES(ATAN(ABS(C18-D18)/(2*E18)))),""),"")</f>
        <v/>
      </c>
      <c r="G18" s="38" t="str">
        <f aca="false">IFERROR(IF(AND(B18=1,C18&gt;0,D18&gt;0,C18&lt;&gt;D18),IF(C18&gt;D18,IF(F18&lt;45,0.8*SIN(RADIANS(F18)/2)*(1-(MIN(C18,D18)/MAX(C18,D18))^2),0.5*SQRT(SIN(RADIANS(F18)/2))*(1-(MIN(C18,D18)/MAX(C18,D18))^2)),IF(F18&lt;45,2.6*SIN(RADIANS(F18)/2)*(1-(MIN(C18,D18)/MAX(C18,D18))^2)^2,(1-(MIN(C18,D18)/MAX(C18,D18))^2)^2)),""),"")</f>
        <v/>
      </c>
      <c r="H18" s="16"/>
      <c r="I18" s="14" t="str">
        <f aca="false">IFERROR(IF(AND(B18=1,Beregning!$B$3="OK",C18&gt;0,D18&gt;0),Beregning!$B$7/(PI()*(MIN(C18,D18)/1000)^2/4),""),"")</f>
        <v/>
      </c>
      <c r="J18" s="14" t="str">
        <f aca="false">IFERROR(IF(K18="OK",IF(H18&lt;&gt;"",H18,G18)*Beregning!$B$10*I18^2/2000,""),"")</f>
        <v/>
      </c>
      <c r="K18" s="27" t="str">
        <f aca="false">IFERROR(IF(OR(B18="",B18=0),"Ikke med",IF(OR(NOT(ISNUMBER(B18)),B18&lt;&gt;1),"FEIL: med må være 0 eller 1",IF(OR(NOT(ISNUMBER(C18)),C18&lt;=0,NOT(ISNUMBER(D18)),D18&lt;=0,C18=D18),"FEIL: kontroller diametre",IF(ABS(C18-(IFERROR(LOOKUP(2,1/($B$7:B17=1),$D$7:D17),Trykkberegning!$E$12)))&gt;0.000001,"FEIL: ID inn må følge forrige utløp",IF(OR(E18="",NOT(ISNUMBER(E18)),E18&lt;0),"FEIL: oppgi lengde &gt;=0",IF(Beregning!$B$3&lt;&gt;"OK","Venter på inndata",IF(AND(H18&lt;&gt;"",OR(NOT(ISNUMBER(H18)),H18&lt;0)),"FEIL: eget K",IF(AND(H18="",Beregning!$B$10*I18*(MIN(C18,D18)/1000)/Beregning!$B$9&gt;0,Beregning!$B$10*I18*(MIN(C18,D18)/1000)/Beregning!$B$9&lt;4000),"FEIL: oppgi K ved lavt Re","OK")))))))),"FEIL: kontroller tall")</f>
        <v>Ikke med</v>
      </c>
      <c r="L18" s="16"/>
    </row>
    <row r="19" customFormat="false" ht="22.5" hidden="false" customHeight="true" outlineLevel="0" collapsed="false">
      <c r="A19" s="16"/>
      <c r="B19" s="18" t="n">
        <v>0</v>
      </c>
      <c r="C19" s="16"/>
      <c r="D19" s="16"/>
      <c r="E19" s="16"/>
      <c r="F19" s="14" t="str">
        <f aca="false">IFERROR(IF(B19=1,IF(E19=0,180,2*DEGREES(ATAN(ABS(C19-D19)/(2*E19)))),""),"")</f>
        <v/>
      </c>
      <c r="G19" s="38" t="str">
        <f aca="false">IFERROR(IF(AND(B19=1,C19&gt;0,D19&gt;0,C19&lt;&gt;D19),IF(C19&gt;D19,IF(F19&lt;45,0.8*SIN(RADIANS(F19)/2)*(1-(MIN(C19,D19)/MAX(C19,D19))^2),0.5*SQRT(SIN(RADIANS(F19)/2))*(1-(MIN(C19,D19)/MAX(C19,D19))^2)),IF(F19&lt;45,2.6*SIN(RADIANS(F19)/2)*(1-(MIN(C19,D19)/MAX(C19,D19))^2)^2,(1-(MIN(C19,D19)/MAX(C19,D19))^2)^2)),""),"")</f>
        <v/>
      </c>
      <c r="H19" s="16"/>
      <c r="I19" s="14" t="str">
        <f aca="false">IFERROR(IF(AND(B19=1,Beregning!$B$3="OK",C19&gt;0,D19&gt;0),Beregning!$B$7/(PI()*(MIN(C19,D19)/1000)^2/4),""),"")</f>
        <v/>
      </c>
      <c r="J19" s="14" t="str">
        <f aca="false">IFERROR(IF(K19="OK",IF(H19&lt;&gt;"",H19,G19)*Beregning!$B$10*I19^2/2000,""),"")</f>
        <v/>
      </c>
      <c r="K19" s="27" t="str">
        <f aca="false">IFERROR(IF(OR(B19="",B19=0),"Ikke med",IF(OR(NOT(ISNUMBER(B19)),B19&lt;&gt;1),"FEIL: med må være 0 eller 1",IF(OR(NOT(ISNUMBER(C19)),C19&lt;=0,NOT(ISNUMBER(D19)),D19&lt;=0,C19=D19),"FEIL: kontroller diametre",IF(ABS(C19-(IFERROR(LOOKUP(2,1/($B$7:B18=1),$D$7:D18),Trykkberegning!$E$12)))&gt;0.000001,"FEIL: ID inn må følge forrige utløp",IF(OR(E19="",NOT(ISNUMBER(E19)),E19&lt;0),"FEIL: oppgi lengde &gt;=0",IF(Beregning!$B$3&lt;&gt;"OK","Venter på inndata",IF(AND(H19&lt;&gt;"",OR(NOT(ISNUMBER(H19)),H19&lt;0)),"FEIL: eget K",IF(AND(H19="",Beregning!$B$10*I19*(MIN(C19,D19)/1000)/Beregning!$B$9&gt;0,Beregning!$B$10*I19*(MIN(C19,D19)/1000)/Beregning!$B$9&lt;4000),"FEIL: oppgi K ved lavt Re","OK")))))))),"FEIL: kontroller tall")</f>
        <v>Ikke med</v>
      </c>
      <c r="L19" s="16"/>
    </row>
    <row r="20" customFormat="false" ht="22.5" hidden="false" customHeight="true" outlineLevel="0" collapsed="false">
      <c r="A20" s="16"/>
      <c r="B20" s="18" t="n">
        <v>0</v>
      </c>
      <c r="C20" s="16"/>
      <c r="D20" s="16"/>
      <c r="E20" s="16"/>
      <c r="F20" s="14" t="str">
        <f aca="false">IFERROR(IF(B20=1,IF(E20=0,180,2*DEGREES(ATAN(ABS(C20-D20)/(2*E20)))),""),"")</f>
        <v/>
      </c>
      <c r="G20" s="38" t="str">
        <f aca="false">IFERROR(IF(AND(B20=1,C20&gt;0,D20&gt;0,C20&lt;&gt;D20),IF(C20&gt;D20,IF(F20&lt;45,0.8*SIN(RADIANS(F20)/2)*(1-(MIN(C20,D20)/MAX(C20,D20))^2),0.5*SQRT(SIN(RADIANS(F20)/2))*(1-(MIN(C20,D20)/MAX(C20,D20))^2)),IF(F20&lt;45,2.6*SIN(RADIANS(F20)/2)*(1-(MIN(C20,D20)/MAX(C20,D20))^2)^2,(1-(MIN(C20,D20)/MAX(C20,D20))^2)^2)),""),"")</f>
        <v/>
      </c>
      <c r="H20" s="16"/>
      <c r="I20" s="14" t="str">
        <f aca="false">IFERROR(IF(AND(B20=1,Beregning!$B$3="OK",C20&gt;0,D20&gt;0),Beregning!$B$7/(PI()*(MIN(C20,D20)/1000)^2/4),""),"")</f>
        <v/>
      </c>
      <c r="J20" s="14" t="str">
        <f aca="false">IFERROR(IF(K20="OK",IF(H20&lt;&gt;"",H20,G20)*Beregning!$B$10*I20^2/2000,""),"")</f>
        <v/>
      </c>
      <c r="K20" s="27" t="str">
        <f aca="false">IFERROR(IF(OR(B20="",B20=0),"Ikke med",IF(OR(NOT(ISNUMBER(B20)),B20&lt;&gt;1),"FEIL: med må være 0 eller 1",IF(OR(NOT(ISNUMBER(C20)),C20&lt;=0,NOT(ISNUMBER(D20)),D20&lt;=0,C20=D20),"FEIL: kontroller diametre",IF(ABS(C20-(IFERROR(LOOKUP(2,1/($B$7:B19=1),$D$7:D19),Trykkberegning!$E$12)))&gt;0.000001,"FEIL: ID inn må følge forrige utløp",IF(OR(E20="",NOT(ISNUMBER(E20)),E20&lt;0),"FEIL: oppgi lengde &gt;=0",IF(Beregning!$B$3&lt;&gt;"OK","Venter på inndata",IF(AND(H20&lt;&gt;"",OR(NOT(ISNUMBER(H20)),H20&lt;0)),"FEIL: eget K",IF(AND(H20="",Beregning!$B$10*I20*(MIN(C20,D20)/1000)/Beregning!$B$9&gt;0,Beregning!$B$10*I20*(MIN(C20,D20)/1000)/Beregning!$B$9&lt;4000),"FEIL: oppgi K ved lavt Re","OK")))))))),"FEIL: kontroller tall")</f>
        <v>Ikke med</v>
      </c>
      <c r="L20" s="16"/>
    </row>
    <row r="21" customFormat="false" ht="22.5" hidden="false" customHeight="true" outlineLevel="0" collapsed="false">
      <c r="A21" s="16"/>
      <c r="B21" s="18" t="n">
        <v>0</v>
      </c>
      <c r="C21" s="16"/>
      <c r="D21" s="16"/>
      <c r="E21" s="16"/>
      <c r="F21" s="14" t="str">
        <f aca="false">IFERROR(IF(B21=1,IF(E21=0,180,2*DEGREES(ATAN(ABS(C21-D21)/(2*E21)))),""),"")</f>
        <v/>
      </c>
      <c r="G21" s="38" t="str">
        <f aca="false">IFERROR(IF(AND(B21=1,C21&gt;0,D21&gt;0,C21&lt;&gt;D21),IF(C21&gt;D21,IF(F21&lt;45,0.8*SIN(RADIANS(F21)/2)*(1-(MIN(C21,D21)/MAX(C21,D21))^2),0.5*SQRT(SIN(RADIANS(F21)/2))*(1-(MIN(C21,D21)/MAX(C21,D21))^2)),IF(F21&lt;45,2.6*SIN(RADIANS(F21)/2)*(1-(MIN(C21,D21)/MAX(C21,D21))^2)^2,(1-(MIN(C21,D21)/MAX(C21,D21))^2)^2)),""),"")</f>
        <v/>
      </c>
      <c r="H21" s="16"/>
      <c r="I21" s="14" t="str">
        <f aca="false">IFERROR(IF(AND(B21=1,Beregning!$B$3="OK",C21&gt;0,D21&gt;0),Beregning!$B$7/(PI()*(MIN(C21,D21)/1000)^2/4),""),"")</f>
        <v/>
      </c>
      <c r="J21" s="14" t="str">
        <f aca="false">IFERROR(IF(K21="OK",IF(H21&lt;&gt;"",H21,G21)*Beregning!$B$10*I21^2/2000,""),"")</f>
        <v/>
      </c>
      <c r="K21" s="27" t="str">
        <f aca="false">IFERROR(IF(OR(B21="",B21=0),"Ikke med",IF(OR(NOT(ISNUMBER(B21)),B21&lt;&gt;1),"FEIL: med må være 0 eller 1",IF(OR(NOT(ISNUMBER(C21)),C21&lt;=0,NOT(ISNUMBER(D21)),D21&lt;=0,C21=D21),"FEIL: kontroller diametre",IF(ABS(C21-(IFERROR(LOOKUP(2,1/($B$7:B20=1),$D$7:D20),Trykkberegning!$E$12)))&gt;0.000001,"FEIL: ID inn må følge forrige utløp",IF(OR(E21="",NOT(ISNUMBER(E21)),E21&lt;0),"FEIL: oppgi lengde &gt;=0",IF(Beregning!$B$3&lt;&gt;"OK","Venter på inndata",IF(AND(H21&lt;&gt;"",OR(NOT(ISNUMBER(H21)),H21&lt;0)),"FEIL: eget K",IF(AND(H21="",Beregning!$B$10*I21*(MIN(C21,D21)/1000)/Beregning!$B$9&gt;0,Beregning!$B$10*I21*(MIN(C21,D21)/1000)/Beregning!$B$9&lt;4000),"FEIL: oppgi K ved lavt Re","OK")))))))),"FEIL: kontroller tall")</f>
        <v>Ikke med</v>
      </c>
      <c r="L21" s="16"/>
    </row>
    <row r="22" customFormat="false" ht="22.5" hidden="false" customHeight="true" outlineLevel="0" collapsed="false">
      <c r="A22" s="16"/>
      <c r="B22" s="18" t="n">
        <v>0</v>
      </c>
      <c r="C22" s="16"/>
      <c r="D22" s="16"/>
      <c r="E22" s="16"/>
      <c r="F22" s="14" t="str">
        <f aca="false">IFERROR(IF(B22=1,IF(E22=0,180,2*DEGREES(ATAN(ABS(C22-D22)/(2*E22)))),""),"")</f>
        <v/>
      </c>
      <c r="G22" s="38" t="str">
        <f aca="false">IFERROR(IF(AND(B22=1,C22&gt;0,D22&gt;0,C22&lt;&gt;D22),IF(C22&gt;D22,IF(F22&lt;45,0.8*SIN(RADIANS(F22)/2)*(1-(MIN(C22,D22)/MAX(C22,D22))^2),0.5*SQRT(SIN(RADIANS(F22)/2))*(1-(MIN(C22,D22)/MAX(C22,D22))^2)),IF(F22&lt;45,2.6*SIN(RADIANS(F22)/2)*(1-(MIN(C22,D22)/MAX(C22,D22))^2)^2,(1-(MIN(C22,D22)/MAX(C22,D22))^2)^2)),""),"")</f>
        <v/>
      </c>
      <c r="H22" s="16"/>
      <c r="I22" s="14" t="str">
        <f aca="false">IFERROR(IF(AND(B22=1,Beregning!$B$3="OK",C22&gt;0,D22&gt;0),Beregning!$B$7/(PI()*(MIN(C22,D22)/1000)^2/4),""),"")</f>
        <v/>
      </c>
      <c r="J22" s="14" t="str">
        <f aca="false">IFERROR(IF(K22="OK",IF(H22&lt;&gt;"",H22,G22)*Beregning!$B$10*I22^2/2000,""),"")</f>
        <v/>
      </c>
      <c r="K22" s="27" t="str">
        <f aca="false">IFERROR(IF(OR(B22="",B22=0),"Ikke med",IF(OR(NOT(ISNUMBER(B22)),B22&lt;&gt;1),"FEIL: med må være 0 eller 1",IF(OR(NOT(ISNUMBER(C22)),C22&lt;=0,NOT(ISNUMBER(D22)),D22&lt;=0,C22=D22),"FEIL: kontroller diametre",IF(ABS(C22-(IFERROR(LOOKUP(2,1/($B$7:B21=1),$D$7:D21),Trykkberegning!$E$12)))&gt;0.000001,"FEIL: ID inn må følge forrige utløp",IF(OR(E22="",NOT(ISNUMBER(E22)),E22&lt;0),"FEIL: oppgi lengde &gt;=0",IF(Beregning!$B$3&lt;&gt;"OK","Venter på inndata",IF(AND(H22&lt;&gt;"",OR(NOT(ISNUMBER(H22)),H22&lt;0)),"FEIL: eget K",IF(AND(H22="",Beregning!$B$10*I22*(MIN(C22,D22)/1000)/Beregning!$B$9&gt;0,Beregning!$B$10*I22*(MIN(C22,D22)/1000)/Beregning!$B$9&lt;4000),"FEIL: oppgi K ved lavt Re","OK")))))))),"FEIL: kontroller tall")</f>
        <v>Ikke med</v>
      </c>
      <c r="L22" s="16"/>
    </row>
    <row r="23" customFormat="false" ht="22.5" hidden="false" customHeight="true" outlineLevel="0" collapsed="false">
      <c r="A23" s="16"/>
      <c r="B23" s="18" t="n">
        <v>0</v>
      </c>
      <c r="C23" s="16"/>
      <c r="D23" s="16"/>
      <c r="E23" s="16"/>
      <c r="F23" s="14" t="str">
        <f aca="false">IFERROR(IF(B23=1,IF(E23=0,180,2*DEGREES(ATAN(ABS(C23-D23)/(2*E23)))),""),"")</f>
        <v/>
      </c>
      <c r="G23" s="38" t="str">
        <f aca="false">IFERROR(IF(AND(B23=1,C23&gt;0,D23&gt;0,C23&lt;&gt;D23),IF(C23&gt;D23,IF(F23&lt;45,0.8*SIN(RADIANS(F23)/2)*(1-(MIN(C23,D23)/MAX(C23,D23))^2),0.5*SQRT(SIN(RADIANS(F23)/2))*(1-(MIN(C23,D23)/MAX(C23,D23))^2)),IF(F23&lt;45,2.6*SIN(RADIANS(F23)/2)*(1-(MIN(C23,D23)/MAX(C23,D23))^2)^2,(1-(MIN(C23,D23)/MAX(C23,D23))^2)^2)),""),"")</f>
        <v/>
      </c>
      <c r="H23" s="16"/>
      <c r="I23" s="14" t="str">
        <f aca="false">IFERROR(IF(AND(B23=1,Beregning!$B$3="OK",C23&gt;0,D23&gt;0),Beregning!$B$7/(PI()*(MIN(C23,D23)/1000)^2/4),""),"")</f>
        <v/>
      </c>
      <c r="J23" s="14" t="str">
        <f aca="false">IFERROR(IF(K23="OK",IF(H23&lt;&gt;"",H23,G23)*Beregning!$B$10*I23^2/2000,""),"")</f>
        <v/>
      </c>
      <c r="K23" s="27" t="str">
        <f aca="false">IFERROR(IF(OR(B23="",B23=0),"Ikke med",IF(OR(NOT(ISNUMBER(B23)),B23&lt;&gt;1),"FEIL: med må være 0 eller 1",IF(OR(NOT(ISNUMBER(C23)),C23&lt;=0,NOT(ISNUMBER(D23)),D23&lt;=0,C23=D23),"FEIL: kontroller diametre",IF(ABS(C23-(IFERROR(LOOKUP(2,1/($B$7:B22=1),$D$7:D22),Trykkberegning!$E$12)))&gt;0.000001,"FEIL: ID inn må følge forrige utløp",IF(OR(E23="",NOT(ISNUMBER(E23)),E23&lt;0),"FEIL: oppgi lengde &gt;=0",IF(Beregning!$B$3&lt;&gt;"OK","Venter på inndata",IF(AND(H23&lt;&gt;"",OR(NOT(ISNUMBER(H23)),H23&lt;0)),"FEIL: eget K",IF(AND(H23="",Beregning!$B$10*I23*(MIN(C23,D23)/1000)/Beregning!$B$9&gt;0,Beregning!$B$10*I23*(MIN(C23,D23)/1000)/Beregning!$B$9&lt;4000),"FEIL: oppgi K ved lavt Re","OK")))))))),"FEIL: kontroller tall")</f>
        <v>Ikke med</v>
      </c>
      <c r="L23" s="16"/>
    </row>
    <row r="24" customFormat="false" ht="22.5" hidden="false" customHeight="true" outlineLevel="0" collapsed="false">
      <c r="A24" s="16"/>
      <c r="B24" s="18" t="n">
        <v>0</v>
      </c>
      <c r="C24" s="16"/>
      <c r="D24" s="16"/>
      <c r="E24" s="16"/>
      <c r="F24" s="14" t="str">
        <f aca="false">IFERROR(IF(B24=1,IF(E24=0,180,2*DEGREES(ATAN(ABS(C24-D24)/(2*E24)))),""),"")</f>
        <v/>
      </c>
      <c r="G24" s="38" t="str">
        <f aca="false">IFERROR(IF(AND(B24=1,C24&gt;0,D24&gt;0,C24&lt;&gt;D24),IF(C24&gt;D24,IF(F24&lt;45,0.8*SIN(RADIANS(F24)/2)*(1-(MIN(C24,D24)/MAX(C24,D24))^2),0.5*SQRT(SIN(RADIANS(F24)/2))*(1-(MIN(C24,D24)/MAX(C24,D24))^2)),IF(F24&lt;45,2.6*SIN(RADIANS(F24)/2)*(1-(MIN(C24,D24)/MAX(C24,D24))^2)^2,(1-(MIN(C24,D24)/MAX(C24,D24))^2)^2)),""),"")</f>
        <v/>
      </c>
      <c r="H24" s="16"/>
      <c r="I24" s="14" t="str">
        <f aca="false">IFERROR(IF(AND(B24=1,Beregning!$B$3="OK",C24&gt;0,D24&gt;0),Beregning!$B$7/(PI()*(MIN(C24,D24)/1000)^2/4),""),"")</f>
        <v/>
      </c>
      <c r="J24" s="14" t="str">
        <f aca="false">IFERROR(IF(K24="OK",IF(H24&lt;&gt;"",H24,G24)*Beregning!$B$10*I24^2/2000,""),"")</f>
        <v/>
      </c>
      <c r="K24" s="27" t="str">
        <f aca="false">IFERROR(IF(OR(B24="",B24=0),"Ikke med",IF(OR(NOT(ISNUMBER(B24)),B24&lt;&gt;1),"FEIL: med må være 0 eller 1",IF(OR(NOT(ISNUMBER(C24)),C24&lt;=0,NOT(ISNUMBER(D24)),D24&lt;=0,C24=D24),"FEIL: kontroller diametre",IF(ABS(C24-(IFERROR(LOOKUP(2,1/($B$7:B23=1),$D$7:D23),Trykkberegning!$E$12)))&gt;0.000001,"FEIL: ID inn må følge forrige utløp",IF(OR(E24="",NOT(ISNUMBER(E24)),E24&lt;0),"FEIL: oppgi lengde &gt;=0",IF(Beregning!$B$3&lt;&gt;"OK","Venter på inndata",IF(AND(H24&lt;&gt;"",OR(NOT(ISNUMBER(H24)),H24&lt;0)),"FEIL: eget K",IF(AND(H24="",Beregning!$B$10*I24*(MIN(C24,D24)/1000)/Beregning!$B$9&gt;0,Beregning!$B$10*I24*(MIN(C24,D24)/1000)/Beregning!$B$9&lt;4000),"FEIL: oppgi K ved lavt Re","OK")))))))),"FEIL: kontroller tall")</f>
        <v>Ikke med</v>
      </c>
      <c r="L24" s="16"/>
    </row>
    <row r="25" customFormat="false" ht="22.5" hidden="false" customHeight="true" outlineLevel="0" collapsed="false">
      <c r="A25" s="16"/>
      <c r="B25" s="18" t="n">
        <v>0</v>
      </c>
      <c r="C25" s="16"/>
      <c r="D25" s="16"/>
      <c r="E25" s="16"/>
      <c r="F25" s="14" t="str">
        <f aca="false">IFERROR(IF(B25=1,IF(E25=0,180,2*DEGREES(ATAN(ABS(C25-D25)/(2*E25)))),""),"")</f>
        <v/>
      </c>
      <c r="G25" s="38" t="str">
        <f aca="false">IFERROR(IF(AND(B25=1,C25&gt;0,D25&gt;0,C25&lt;&gt;D25),IF(C25&gt;D25,IF(F25&lt;45,0.8*SIN(RADIANS(F25)/2)*(1-(MIN(C25,D25)/MAX(C25,D25))^2),0.5*SQRT(SIN(RADIANS(F25)/2))*(1-(MIN(C25,D25)/MAX(C25,D25))^2)),IF(F25&lt;45,2.6*SIN(RADIANS(F25)/2)*(1-(MIN(C25,D25)/MAX(C25,D25))^2)^2,(1-(MIN(C25,D25)/MAX(C25,D25))^2)^2)),""),"")</f>
        <v/>
      </c>
      <c r="H25" s="16"/>
      <c r="I25" s="14" t="str">
        <f aca="false">IFERROR(IF(AND(B25=1,Beregning!$B$3="OK",C25&gt;0,D25&gt;0),Beregning!$B$7/(PI()*(MIN(C25,D25)/1000)^2/4),""),"")</f>
        <v/>
      </c>
      <c r="J25" s="14" t="str">
        <f aca="false">IFERROR(IF(K25="OK",IF(H25&lt;&gt;"",H25,G25)*Beregning!$B$10*I25^2/2000,""),"")</f>
        <v/>
      </c>
      <c r="K25" s="27" t="str">
        <f aca="false">IFERROR(IF(OR(B25="",B25=0),"Ikke med",IF(OR(NOT(ISNUMBER(B25)),B25&lt;&gt;1),"FEIL: med må være 0 eller 1",IF(OR(NOT(ISNUMBER(C25)),C25&lt;=0,NOT(ISNUMBER(D25)),D25&lt;=0,C25=D25),"FEIL: kontroller diametre",IF(ABS(C25-(IFERROR(LOOKUP(2,1/($B$7:B24=1),$D$7:D24),Trykkberegning!$E$12)))&gt;0.000001,"FEIL: ID inn må følge forrige utløp",IF(OR(E25="",NOT(ISNUMBER(E25)),E25&lt;0),"FEIL: oppgi lengde &gt;=0",IF(Beregning!$B$3&lt;&gt;"OK","Venter på inndata",IF(AND(H25&lt;&gt;"",OR(NOT(ISNUMBER(H25)),H25&lt;0)),"FEIL: eget K",IF(AND(H25="",Beregning!$B$10*I25*(MIN(C25,D25)/1000)/Beregning!$B$9&gt;0,Beregning!$B$10*I25*(MIN(C25,D25)/1000)/Beregning!$B$9&lt;4000),"FEIL: oppgi K ved lavt Re","OK")))))))),"FEIL: kontroller tall")</f>
        <v>Ikke med</v>
      </c>
      <c r="L25" s="16"/>
    </row>
    <row r="26" customFormat="false" ht="22.5" hidden="false" customHeight="true" outlineLevel="0" collapsed="false">
      <c r="A26" s="16"/>
      <c r="B26" s="18" t="n">
        <v>0</v>
      </c>
      <c r="C26" s="16"/>
      <c r="D26" s="16"/>
      <c r="E26" s="16"/>
      <c r="F26" s="14" t="str">
        <f aca="false">IFERROR(IF(B26=1,IF(E26=0,180,2*DEGREES(ATAN(ABS(C26-D26)/(2*E26)))),""),"")</f>
        <v/>
      </c>
      <c r="G26" s="38" t="str">
        <f aca="false">IFERROR(IF(AND(B26=1,C26&gt;0,D26&gt;0,C26&lt;&gt;D26),IF(C26&gt;D26,IF(F26&lt;45,0.8*SIN(RADIANS(F26)/2)*(1-(MIN(C26,D26)/MAX(C26,D26))^2),0.5*SQRT(SIN(RADIANS(F26)/2))*(1-(MIN(C26,D26)/MAX(C26,D26))^2)),IF(F26&lt;45,2.6*SIN(RADIANS(F26)/2)*(1-(MIN(C26,D26)/MAX(C26,D26))^2)^2,(1-(MIN(C26,D26)/MAX(C26,D26))^2)^2)),""),"")</f>
        <v/>
      </c>
      <c r="H26" s="16"/>
      <c r="I26" s="14" t="str">
        <f aca="false">IFERROR(IF(AND(B26=1,Beregning!$B$3="OK",C26&gt;0,D26&gt;0),Beregning!$B$7/(PI()*(MIN(C26,D26)/1000)^2/4),""),"")</f>
        <v/>
      </c>
      <c r="J26" s="14" t="str">
        <f aca="false">IFERROR(IF(K26="OK",IF(H26&lt;&gt;"",H26,G26)*Beregning!$B$10*I26^2/2000,""),"")</f>
        <v/>
      </c>
      <c r="K26" s="27" t="str">
        <f aca="false">IFERROR(IF(OR(B26="",B26=0),"Ikke med",IF(OR(NOT(ISNUMBER(B26)),B26&lt;&gt;1),"FEIL: med må være 0 eller 1",IF(OR(NOT(ISNUMBER(C26)),C26&lt;=0,NOT(ISNUMBER(D26)),D26&lt;=0,C26=D26),"FEIL: kontroller diametre",IF(ABS(C26-(IFERROR(LOOKUP(2,1/($B$7:B25=1),$D$7:D25),Trykkberegning!$E$12)))&gt;0.000001,"FEIL: ID inn må følge forrige utløp",IF(OR(E26="",NOT(ISNUMBER(E26)),E26&lt;0),"FEIL: oppgi lengde &gt;=0",IF(Beregning!$B$3&lt;&gt;"OK","Venter på inndata",IF(AND(H26&lt;&gt;"",OR(NOT(ISNUMBER(H26)),H26&lt;0)),"FEIL: eget K",IF(AND(H26="",Beregning!$B$10*I26*(MIN(C26,D26)/1000)/Beregning!$B$9&gt;0,Beregning!$B$10*I26*(MIN(C26,D26)/1000)/Beregning!$B$9&lt;4000),"FEIL: oppgi K ved lavt Re","OK")))))))),"FEIL: kontroller tall")</f>
        <v>Ikke med</v>
      </c>
      <c r="L26" s="16"/>
    </row>
    <row r="27" customFormat="false" ht="22.5" hidden="false" customHeight="true" outlineLevel="0" collapsed="false">
      <c r="A27" s="16"/>
      <c r="B27" s="18" t="n">
        <v>0</v>
      </c>
      <c r="C27" s="16"/>
      <c r="D27" s="16"/>
      <c r="E27" s="16"/>
      <c r="F27" s="14" t="str">
        <f aca="false">IFERROR(IF(B27=1,IF(E27=0,180,2*DEGREES(ATAN(ABS(C27-D27)/(2*E27)))),""),"")</f>
        <v/>
      </c>
      <c r="G27" s="38" t="str">
        <f aca="false">IFERROR(IF(AND(B27=1,C27&gt;0,D27&gt;0,C27&lt;&gt;D27),IF(C27&gt;D27,IF(F27&lt;45,0.8*SIN(RADIANS(F27)/2)*(1-(MIN(C27,D27)/MAX(C27,D27))^2),0.5*SQRT(SIN(RADIANS(F27)/2))*(1-(MIN(C27,D27)/MAX(C27,D27))^2)),IF(F27&lt;45,2.6*SIN(RADIANS(F27)/2)*(1-(MIN(C27,D27)/MAX(C27,D27))^2)^2,(1-(MIN(C27,D27)/MAX(C27,D27))^2)^2)),""),"")</f>
        <v/>
      </c>
      <c r="H27" s="16"/>
      <c r="I27" s="14" t="str">
        <f aca="false">IFERROR(IF(AND(B27=1,Beregning!$B$3="OK",C27&gt;0,D27&gt;0),Beregning!$B$7/(PI()*(MIN(C27,D27)/1000)^2/4),""),"")</f>
        <v/>
      </c>
      <c r="J27" s="14" t="str">
        <f aca="false">IFERROR(IF(K27="OK",IF(H27&lt;&gt;"",H27,G27)*Beregning!$B$10*I27^2/2000,""),"")</f>
        <v/>
      </c>
      <c r="K27" s="27" t="str">
        <f aca="false">IFERROR(IF(OR(B27="",B27=0),"Ikke med",IF(OR(NOT(ISNUMBER(B27)),B27&lt;&gt;1),"FEIL: med må være 0 eller 1",IF(OR(NOT(ISNUMBER(C27)),C27&lt;=0,NOT(ISNUMBER(D27)),D27&lt;=0,C27=D27),"FEIL: kontroller diametre",IF(ABS(C27-(IFERROR(LOOKUP(2,1/($B$7:B26=1),$D$7:D26),Trykkberegning!$E$12)))&gt;0.000001,"FEIL: ID inn må følge forrige utløp",IF(OR(E27="",NOT(ISNUMBER(E27)),E27&lt;0),"FEIL: oppgi lengde &gt;=0",IF(Beregning!$B$3&lt;&gt;"OK","Venter på inndata",IF(AND(H27&lt;&gt;"",OR(NOT(ISNUMBER(H27)),H27&lt;0)),"FEIL: eget K",IF(AND(H27="",Beregning!$B$10*I27*(MIN(C27,D27)/1000)/Beregning!$B$9&gt;0,Beregning!$B$10*I27*(MIN(C27,D27)/1000)/Beregning!$B$9&lt;4000),"FEIL: oppgi K ved lavt Re","OK")))))))),"FEIL: kontroller tall")</f>
        <v>Ikke med</v>
      </c>
      <c r="L27" s="16"/>
    </row>
    <row r="28" customFormat="false" ht="22.5" hidden="false" customHeight="true" outlineLevel="0" collapsed="false">
      <c r="A28" s="16"/>
      <c r="B28" s="18" t="n">
        <v>0</v>
      </c>
      <c r="C28" s="16"/>
      <c r="D28" s="16"/>
      <c r="E28" s="16"/>
      <c r="F28" s="14" t="str">
        <f aca="false">IFERROR(IF(B28=1,IF(E28=0,180,2*DEGREES(ATAN(ABS(C28-D28)/(2*E28)))),""),"")</f>
        <v/>
      </c>
      <c r="G28" s="38" t="str">
        <f aca="false">IFERROR(IF(AND(B28=1,C28&gt;0,D28&gt;0,C28&lt;&gt;D28),IF(C28&gt;D28,IF(F28&lt;45,0.8*SIN(RADIANS(F28)/2)*(1-(MIN(C28,D28)/MAX(C28,D28))^2),0.5*SQRT(SIN(RADIANS(F28)/2))*(1-(MIN(C28,D28)/MAX(C28,D28))^2)),IF(F28&lt;45,2.6*SIN(RADIANS(F28)/2)*(1-(MIN(C28,D28)/MAX(C28,D28))^2)^2,(1-(MIN(C28,D28)/MAX(C28,D28))^2)^2)),""),"")</f>
        <v/>
      </c>
      <c r="H28" s="16"/>
      <c r="I28" s="14" t="str">
        <f aca="false">IFERROR(IF(AND(B28=1,Beregning!$B$3="OK",C28&gt;0,D28&gt;0),Beregning!$B$7/(PI()*(MIN(C28,D28)/1000)^2/4),""),"")</f>
        <v/>
      </c>
      <c r="J28" s="14" t="str">
        <f aca="false">IFERROR(IF(K28="OK",IF(H28&lt;&gt;"",H28,G28)*Beregning!$B$10*I28^2/2000,""),"")</f>
        <v/>
      </c>
      <c r="K28" s="27" t="str">
        <f aca="false">IFERROR(IF(OR(B28="",B28=0),"Ikke med",IF(OR(NOT(ISNUMBER(B28)),B28&lt;&gt;1),"FEIL: med må være 0 eller 1",IF(OR(NOT(ISNUMBER(C28)),C28&lt;=0,NOT(ISNUMBER(D28)),D28&lt;=0,C28=D28),"FEIL: kontroller diametre",IF(ABS(C28-(IFERROR(LOOKUP(2,1/($B$7:B27=1),$D$7:D27),Trykkberegning!$E$12)))&gt;0.000001,"FEIL: ID inn må følge forrige utløp",IF(OR(E28="",NOT(ISNUMBER(E28)),E28&lt;0),"FEIL: oppgi lengde &gt;=0",IF(Beregning!$B$3&lt;&gt;"OK","Venter på inndata",IF(AND(H28&lt;&gt;"",OR(NOT(ISNUMBER(H28)),H28&lt;0)),"FEIL: eget K",IF(AND(H28="",Beregning!$B$10*I28*(MIN(C28,D28)/1000)/Beregning!$B$9&gt;0,Beregning!$B$10*I28*(MIN(C28,D28)/1000)/Beregning!$B$9&lt;4000),"FEIL: oppgi K ved lavt Re","OK")))))))),"FEIL: kontroller tall")</f>
        <v>Ikke med</v>
      </c>
      <c r="L28" s="16"/>
    </row>
    <row r="29" customFormat="false" ht="22.5" hidden="false" customHeight="true" outlineLevel="0" collapsed="false">
      <c r="A29" s="16"/>
      <c r="B29" s="18" t="n">
        <v>0</v>
      </c>
      <c r="C29" s="16"/>
      <c r="D29" s="16"/>
      <c r="E29" s="16"/>
      <c r="F29" s="14" t="str">
        <f aca="false">IFERROR(IF(B29=1,IF(E29=0,180,2*DEGREES(ATAN(ABS(C29-D29)/(2*E29)))),""),"")</f>
        <v/>
      </c>
      <c r="G29" s="38" t="str">
        <f aca="false">IFERROR(IF(AND(B29=1,C29&gt;0,D29&gt;0,C29&lt;&gt;D29),IF(C29&gt;D29,IF(F29&lt;45,0.8*SIN(RADIANS(F29)/2)*(1-(MIN(C29,D29)/MAX(C29,D29))^2),0.5*SQRT(SIN(RADIANS(F29)/2))*(1-(MIN(C29,D29)/MAX(C29,D29))^2)),IF(F29&lt;45,2.6*SIN(RADIANS(F29)/2)*(1-(MIN(C29,D29)/MAX(C29,D29))^2)^2,(1-(MIN(C29,D29)/MAX(C29,D29))^2)^2)),""),"")</f>
        <v/>
      </c>
      <c r="H29" s="16"/>
      <c r="I29" s="14" t="str">
        <f aca="false">IFERROR(IF(AND(B29=1,Beregning!$B$3="OK",C29&gt;0,D29&gt;0),Beregning!$B$7/(PI()*(MIN(C29,D29)/1000)^2/4),""),"")</f>
        <v/>
      </c>
      <c r="J29" s="14" t="str">
        <f aca="false">IFERROR(IF(K29="OK",IF(H29&lt;&gt;"",H29,G29)*Beregning!$B$10*I29^2/2000,""),"")</f>
        <v/>
      </c>
      <c r="K29" s="27" t="str">
        <f aca="false">IFERROR(IF(OR(B29="",B29=0),"Ikke med",IF(OR(NOT(ISNUMBER(B29)),B29&lt;&gt;1),"FEIL: med må være 0 eller 1",IF(OR(NOT(ISNUMBER(C29)),C29&lt;=0,NOT(ISNUMBER(D29)),D29&lt;=0,C29=D29),"FEIL: kontroller diametre",IF(ABS(C29-(IFERROR(LOOKUP(2,1/($B$7:B28=1),$D$7:D28),Trykkberegning!$E$12)))&gt;0.000001,"FEIL: ID inn må følge forrige utløp",IF(OR(E29="",NOT(ISNUMBER(E29)),E29&lt;0),"FEIL: oppgi lengde &gt;=0",IF(Beregning!$B$3&lt;&gt;"OK","Venter på inndata",IF(AND(H29&lt;&gt;"",OR(NOT(ISNUMBER(H29)),H29&lt;0)),"FEIL: eget K",IF(AND(H29="",Beregning!$B$10*I29*(MIN(C29,D29)/1000)/Beregning!$B$9&gt;0,Beregning!$B$10*I29*(MIN(C29,D29)/1000)/Beregning!$B$9&lt;4000),"FEIL: oppgi K ved lavt Re","OK")))))))),"FEIL: kontroller tall")</f>
        <v>Ikke med</v>
      </c>
      <c r="L29" s="16"/>
    </row>
    <row r="30" customFormat="false" ht="22.5" hidden="false" customHeight="true" outlineLevel="0" collapsed="false">
      <c r="A30" s="16"/>
      <c r="B30" s="18" t="n">
        <v>0</v>
      </c>
      <c r="C30" s="16"/>
      <c r="D30" s="16"/>
      <c r="E30" s="16"/>
      <c r="F30" s="14" t="str">
        <f aca="false">IFERROR(IF(B30=1,IF(E30=0,180,2*DEGREES(ATAN(ABS(C30-D30)/(2*E30)))),""),"")</f>
        <v/>
      </c>
      <c r="G30" s="38" t="str">
        <f aca="false">IFERROR(IF(AND(B30=1,C30&gt;0,D30&gt;0,C30&lt;&gt;D30),IF(C30&gt;D30,IF(F30&lt;45,0.8*SIN(RADIANS(F30)/2)*(1-(MIN(C30,D30)/MAX(C30,D30))^2),0.5*SQRT(SIN(RADIANS(F30)/2))*(1-(MIN(C30,D30)/MAX(C30,D30))^2)),IF(F30&lt;45,2.6*SIN(RADIANS(F30)/2)*(1-(MIN(C30,D30)/MAX(C30,D30))^2)^2,(1-(MIN(C30,D30)/MAX(C30,D30))^2)^2)),""),"")</f>
        <v/>
      </c>
      <c r="H30" s="16"/>
      <c r="I30" s="14" t="str">
        <f aca="false">IFERROR(IF(AND(B30=1,Beregning!$B$3="OK",C30&gt;0,D30&gt;0),Beregning!$B$7/(PI()*(MIN(C30,D30)/1000)^2/4),""),"")</f>
        <v/>
      </c>
      <c r="J30" s="14" t="str">
        <f aca="false">IFERROR(IF(K30="OK",IF(H30&lt;&gt;"",H30,G30)*Beregning!$B$10*I30^2/2000,""),"")</f>
        <v/>
      </c>
      <c r="K30" s="27" t="str">
        <f aca="false">IFERROR(IF(OR(B30="",B30=0),"Ikke med",IF(OR(NOT(ISNUMBER(B30)),B30&lt;&gt;1),"FEIL: med må være 0 eller 1",IF(OR(NOT(ISNUMBER(C30)),C30&lt;=0,NOT(ISNUMBER(D30)),D30&lt;=0,C30=D30),"FEIL: kontroller diametre",IF(ABS(C30-(IFERROR(LOOKUP(2,1/($B$7:B29=1),$D$7:D29),Trykkberegning!$E$12)))&gt;0.000001,"FEIL: ID inn må følge forrige utløp",IF(OR(E30="",NOT(ISNUMBER(E30)),E30&lt;0),"FEIL: oppgi lengde &gt;=0",IF(Beregning!$B$3&lt;&gt;"OK","Venter på inndata",IF(AND(H30&lt;&gt;"",OR(NOT(ISNUMBER(H30)),H30&lt;0)),"FEIL: eget K",IF(AND(H30="",Beregning!$B$10*I30*(MIN(C30,D30)/1000)/Beregning!$B$9&gt;0,Beregning!$B$10*I30*(MIN(C30,D30)/1000)/Beregning!$B$9&lt;4000),"FEIL: oppgi K ved lavt Re","OK")))))))),"FEIL: kontroller tall")</f>
        <v>Ikke med</v>
      </c>
      <c r="L30" s="16"/>
    </row>
    <row r="31" customFormat="false" ht="22.5" hidden="false" customHeight="true" outlineLevel="0" collapsed="false">
      <c r="A31" s="16"/>
      <c r="B31" s="18" t="n">
        <v>0</v>
      </c>
      <c r="C31" s="16"/>
      <c r="D31" s="16"/>
      <c r="E31" s="16"/>
      <c r="F31" s="14" t="str">
        <f aca="false">IFERROR(IF(B31=1,IF(E31=0,180,2*DEGREES(ATAN(ABS(C31-D31)/(2*E31)))),""),"")</f>
        <v/>
      </c>
      <c r="G31" s="38" t="str">
        <f aca="false">IFERROR(IF(AND(B31=1,C31&gt;0,D31&gt;0,C31&lt;&gt;D31),IF(C31&gt;D31,IF(F31&lt;45,0.8*SIN(RADIANS(F31)/2)*(1-(MIN(C31,D31)/MAX(C31,D31))^2),0.5*SQRT(SIN(RADIANS(F31)/2))*(1-(MIN(C31,D31)/MAX(C31,D31))^2)),IF(F31&lt;45,2.6*SIN(RADIANS(F31)/2)*(1-(MIN(C31,D31)/MAX(C31,D31))^2)^2,(1-(MIN(C31,D31)/MAX(C31,D31))^2)^2)),""),"")</f>
        <v/>
      </c>
      <c r="H31" s="16"/>
      <c r="I31" s="14" t="str">
        <f aca="false">IFERROR(IF(AND(B31=1,Beregning!$B$3="OK",C31&gt;0,D31&gt;0),Beregning!$B$7/(PI()*(MIN(C31,D31)/1000)^2/4),""),"")</f>
        <v/>
      </c>
      <c r="J31" s="14" t="str">
        <f aca="false">IFERROR(IF(K31="OK",IF(H31&lt;&gt;"",H31,G31)*Beregning!$B$10*I31^2/2000,""),"")</f>
        <v/>
      </c>
      <c r="K31" s="27" t="str">
        <f aca="false">IFERROR(IF(OR(B31="",B31=0),"Ikke med",IF(OR(NOT(ISNUMBER(B31)),B31&lt;&gt;1),"FEIL: med må være 0 eller 1",IF(OR(NOT(ISNUMBER(C31)),C31&lt;=0,NOT(ISNUMBER(D31)),D31&lt;=0,C31=D31),"FEIL: kontroller diametre",IF(ABS(C31-(IFERROR(LOOKUP(2,1/($B$7:B30=1),$D$7:D30),Trykkberegning!$E$12)))&gt;0.000001,"FEIL: ID inn må følge forrige utløp",IF(OR(E31="",NOT(ISNUMBER(E31)),E31&lt;0),"FEIL: oppgi lengde &gt;=0",IF(Beregning!$B$3&lt;&gt;"OK","Venter på inndata",IF(AND(H31&lt;&gt;"",OR(NOT(ISNUMBER(H31)),H31&lt;0)),"FEIL: eget K",IF(AND(H31="",Beregning!$B$10*I31*(MIN(C31,D31)/1000)/Beregning!$B$9&gt;0,Beregning!$B$10*I31*(MIN(C31,D31)/1000)/Beregning!$B$9&lt;4000),"FEIL: oppgi K ved lavt Re","OK")))))))),"FEIL: kontroller tall")</f>
        <v>Ikke med</v>
      </c>
      <c r="L31" s="16"/>
    </row>
    <row r="32" customFormat="false" ht="22.5" hidden="false" customHeight="true" outlineLevel="0" collapsed="false"/>
    <row r="33" customFormat="false" ht="22.5" hidden="false" customHeight="true" outlineLevel="0" collapsed="false">
      <c r="A33" s="24" t="s">
        <v>125</v>
      </c>
      <c r="B33" s="24"/>
      <c r="C33" s="24"/>
      <c r="D33" s="24"/>
      <c r="E33" s="24"/>
      <c r="F33" s="24"/>
      <c r="G33" s="24"/>
      <c r="H33" s="24"/>
      <c r="I33" s="24"/>
      <c r="J33" s="39" t="n">
        <f aca="false">SUM(J7:J31)</f>
        <v>0</v>
      </c>
    </row>
    <row r="34" customFormat="false" ht="22.5" hidden="false" customHeight="true" outlineLevel="0" collapsed="false"/>
    <row r="35" customFormat="false" ht="22.5" hidden="false" customHeight="true" outlineLevel="0" collapsed="false">
      <c r="A35" s="26" t="s">
        <v>126</v>
      </c>
      <c r="B35" s="26"/>
      <c r="C35" s="26"/>
      <c r="D35" s="26"/>
      <c r="E35" s="26"/>
      <c r="F35" s="26"/>
      <c r="G35" s="26"/>
      <c r="H35" s="26"/>
      <c r="I35" s="26"/>
      <c r="J35" s="26"/>
      <c r="K35" s="26"/>
      <c r="L35" s="26"/>
    </row>
    <row r="36" customFormat="false" ht="22.5" hidden="false" customHeight="true" outlineLevel="0" collapsed="false">
      <c r="A36" s="26"/>
      <c r="B36" s="26"/>
      <c r="C36" s="26"/>
      <c r="D36" s="26"/>
      <c r="E36" s="26"/>
      <c r="F36" s="26"/>
      <c r="G36" s="26"/>
      <c r="H36" s="26"/>
      <c r="I36" s="26"/>
      <c r="J36" s="26"/>
      <c r="K36" s="26"/>
      <c r="L36" s="26"/>
    </row>
    <row r="37" customFormat="false" ht="22.5" hidden="false" customHeight="true" outlineLevel="0" collapsed="false">
      <c r="A37" s="26"/>
      <c r="B37" s="26"/>
      <c r="C37" s="26"/>
      <c r="D37" s="26"/>
      <c r="E37" s="26"/>
      <c r="F37" s="26"/>
      <c r="G37" s="26"/>
      <c r="H37" s="26"/>
      <c r="I37" s="26"/>
      <c r="J37" s="26"/>
      <c r="K37" s="26"/>
      <c r="L37" s="26"/>
    </row>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8">
    <mergeCell ref="A1:L2"/>
    <mergeCell ref="A3:L3"/>
    <mergeCell ref="A4:B4"/>
    <mergeCell ref="D4:E4"/>
    <mergeCell ref="G4:L4"/>
    <mergeCell ref="A5:L5"/>
    <mergeCell ref="A33:I33"/>
    <mergeCell ref="A35:L37"/>
  </mergeCells>
  <dataValidations xmlns="http://schemas.openxmlformats.org/spreadsheetml/2006/main" count="5">
    <dataValidation sqref="B7:B31" showDropDown="0" showInputMessage="0" showErrorMessage="1" allowBlank="1" errorTitle="Ugyldig tall" error="Oppgi et heltall mellom 0 og 1." type="whole" operator="between">
      <formula1>0</formula1>
      <formula2>1</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D7:D31" showDropDown="0" showInputMessage="0" showErrorMessage="1" allowBlank="1" errorTitle="Ugyldig tall" error="Oppgi et tall mellom 0 og 1000000000.0." type="decimal" operator="between">
      <formula1>0</formula1>
      <formula2>1000000000.0</formula2>
    </dataValidation>
    <dataValidation sqref="E7:E31" showDropDown="0" showInputMessage="0" showErrorMessage="1" allowBlank="1" errorTitle="Ugyldig tall" error="Oppgi et tall mellom 0 og 1000000000.0." type="decimal" operator="between">
      <formula1>0</formula1>
      <formula2>1000000000.0</formula2>
    </dataValidation>
    <dataValidation sqref="H7:H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R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9"/>
    <col collapsed="false" customWidth="true" hidden="false" outlineLevel="0" max="2" min="2" style="0" width="18"/>
    <col collapsed="false" customWidth="true" hidden="false" outlineLevel="0" max="4" min="3" style="0" width="19"/>
    <col collapsed="false" customWidth="true" hidden="false" outlineLevel="0" max="5" min="5" style="0" width="17"/>
    <col collapsed="false" customWidth="true" hidden="false" outlineLevel="0" max="6" min="6" style="0" width="19"/>
    <col collapsed="false" customWidth="true" hidden="false" outlineLevel="0" max="7" min="7" style="0" width="16"/>
    <col collapsed="false" customWidth="true" hidden="false" outlineLevel="0" max="8" min="8" style="0" width="22"/>
    <col collapsed="false" customWidth="true" hidden="false" outlineLevel="0" max="9" min="9" style="0" width="42"/>
    <col collapsed="false" customWidth="true" hidden="false" outlineLevel="0" max="10" min="10" style="0" width="45"/>
    <col collapsed="false" customWidth="true" hidden="true" outlineLevel="0" max="18" min="12" style="0" width="13"/>
  </cols>
  <sheetData>
    <row r="1" customFormat="false" ht="22.5" hidden="false" customHeight="true" outlineLevel="0" collapsed="false">
      <c r="A1" s="1" t="s">
        <v>127</v>
      </c>
      <c r="B1" s="1"/>
      <c r="C1" s="1"/>
      <c r="D1" s="1"/>
      <c r="E1" s="1"/>
      <c r="F1" s="1"/>
      <c r="G1" s="1"/>
      <c r="H1" s="1"/>
      <c r="I1" s="1"/>
      <c r="J1" s="1"/>
    </row>
    <row r="2" customFormat="false" ht="22.5" hidden="false" customHeight="true" outlineLevel="0" collapsed="false">
      <c r="A2" s="1"/>
      <c r="B2" s="1"/>
      <c r="C2" s="1"/>
      <c r="D2" s="1"/>
      <c r="E2" s="1"/>
      <c r="F2" s="1"/>
      <c r="G2" s="1"/>
      <c r="H2" s="1"/>
      <c r="I2" s="1"/>
      <c r="J2" s="1"/>
    </row>
    <row r="3" customFormat="false" ht="22.5" hidden="false" customHeight="true" outlineLevel="0" collapsed="false">
      <c r="A3" s="2" t="s">
        <v>128</v>
      </c>
      <c r="B3" s="2"/>
      <c r="C3" s="2"/>
      <c r="D3" s="2"/>
      <c r="E3" s="2"/>
      <c r="F3" s="2"/>
      <c r="G3" s="2"/>
      <c r="H3" s="2"/>
      <c r="I3" s="2"/>
      <c r="J3" s="2"/>
    </row>
    <row r="4" customFormat="false" ht="22.5" hidden="false" customHeight="true" outlineLevel="0" collapsed="false">
      <c r="A4" s="36" t="s">
        <v>129</v>
      </c>
      <c r="B4" s="36"/>
      <c r="C4" s="36"/>
      <c r="D4" s="36"/>
      <c r="E4" s="36"/>
      <c r="F4" s="36"/>
      <c r="G4" s="36"/>
      <c r="H4" s="36"/>
      <c r="I4" s="36"/>
      <c r="J4" s="36"/>
    </row>
    <row r="5" customFormat="false" ht="22.5" hidden="false" customHeight="true" outlineLevel="0" collapsed="false">
      <c r="A5" s="36"/>
      <c r="B5" s="36"/>
      <c r="C5" s="36"/>
      <c r="D5" s="36"/>
      <c r="E5" s="36"/>
      <c r="F5" s="36"/>
      <c r="G5" s="36"/>
      <c r="H5" s="36"/>
      <c r="I5" s="36"/>
      <c r="J5" s="36"/>
    </row>
    <row r="6" customFormat="false" ht="36" hidden="false" customHeight="true" outlineLevel="0" collapsed="false">
      <c r="A6" s="27" t="s">
        <v>130</v>
      </c>
      <c r="B6" s="27" t="s">
        <v>131</v>
      </c>
      <c r="C6" s="27" t="s">
        <v>132</v>
      </c>
      <c r="D6" s="27" t="s">
        <v>133</v>
      </c>
      <c r="E6" s="27" t="s">
        <v>134</v>
      </c>
      <c r="F6" s="27" t="s">
        <v>135</v>
      </c>
      <c r="G6" s="27" t="s">
        <v>136</v>
      </c>
      <c r="H6" s="27" t="s">
        <v>137</v>
      </c>
      <c r="I6" s="27" t="s">
        <v>122</v>
      </c>
      <c r="J6" s="27" t="s">
        <v>138</v>
      </c>
    </row>
    <row r="7" customFormat="false" ht="22.5" hidden="false" customHeight="true" outlineLevel="0" collapsed="false">
      <c r="A7" s="16" t="s">
        <v>139</v>
      </c>
      <c r="B7" s="16" t="n">
        <f aca="false">Trykkberegning!E29</f>
        <v>100</v>
      </c>
      <c r="C7" s="16" t="n">
        <f aca="false">Trykkberegning!E12</f>
        <v>82.5</v>
      </c>
      <c r="D7" s="16"/>
      <c r="E7" s="14" t="n">
        <f aca="false">IFERROR(IF(AND(Beregning!$B$3="OK",C7&gt;0),Beregning!$B$7/(PI()*(C7/1000)^2/4),""),"")</f>
        <v>1.87069170943642</v>
      </c>
      <c r="F7" s="40" t="n">
        <f aca="false">IFERROR(IF(AND(Beregning!$B$3="OK",C7&gt;0),Beregning!$B$10*E7*(C7/1000)/Beregning!$B$9,""),"")</f>
        <v>153746.774760133</v>
      </c>
      <c r="G7" s="38" t="n">
        <f aca="false">R7</f>
        <v>0.0195281536170635</v>
      </c>
      <c r="H7" s="14" t="n">
        <f aca="false">IFERROR(IF(I7="OK",G7*B7/(C7/1000)*Beregning!$B$10*E7^2/2000,""),"")</f>
        <v>41.3427391377765</v>
      </c>
      <c r="I7" s="27" t="str">
        <f aca="false">IFERROR(IF(OR(B7="",B7=0),"Ikke med",IF(OR(NOT(ISNUMBER(B7)),B7&lt;0,NOT(ISNUMBER(C7)),C7&lt;=0),"FEIL: lengde eller diameter",IF(OR(NOT(ISNUMBER(IF(D7="",Trykkberegning!$E$15,D7))),IF(D7="",Trykkberegning!$E$15,D7)&lt;0,IF(D7="",Trykkberegning!$E$15,D7)&gt;=C7),"FEIL: ruhet",IF(Beregning!$B$3&lt;&gt;"OK","Venter på inndata",IF(AND(F7&gt;=2300,F7&lt;4000),"FEIL: overgangsområde",IF(AND(ABS(C7-Trykkberegning!$E$12)&gt;0.000001,COUNTIFS(Reduksjoner!$B$7:$B$31,1,Reduksjoner!$D$7:$D$31,C7)=0),"FEIL: diameter mangler i reduksjonskjeden","OK")))))),"FEIL: kontroller tall")</f>
        <v>OK</v>
      </c>
      <c r="J7" s="16"/>
      <c r="L7" s="27" t="n">
        <f aca="false">IFERROR(IF(F7=0,0,IF(F7&lt;2300,64/F7,(-1.8*LOG10(((IF(D7="",Trykkberegning!$E$15,D7)/C7)/3.7)^1.11+6.9/F7))^(-2))),"")</f>
        <v>0.0193209862491592</v>
      </c>
      <c r="M7" s="27" t="n">
        <f aca="false">IFERROR(IF(F7=0,0,IF(F7&lt;2300,L7,(-2*LOG10((IF(D7="",Trykkberegning!$E$15,D7)/C7)/3.7+2.51/(F7*SQRT(L7))))^(-2))),"")</f>
        <v>0.0195393516631449</v>
      </c>
      <c r="N7" s="27" t="n">
        <f aca="false">IFERROR(IF(F7=0,0,IF(F7&lt;2300,L7,(-2*LOG10((IF(D7="",Trykkberegning!$E$15,D7)/C7)/3.7+2.51/(F7*SQRT(M7))))^(-2))),"")</f>
        <v>0.019527552936431</v>
      </c>
      <c r="O7" s="27" t="n">
        <f aca="false">IFERROR(IF(F7=0,0,IF(F7&lt;2300,L7,(-2*LOG10((IF(D7="",Trykkberegning!$E$15,D7)/C7)/3.7+2.51/(F7*SQRT(N7))))^(-2))),"")</f>
        <v>0.0195281858572709</v>
      </c>
      <c r="P7" s="27" t="n">
        <f aca="false">IFERROR(IF(F7=0,0,IF(F7&lt;2300,L7,(-2*LOG10((IF(D7="",Trykkberegning!$E$15,D7)/C7)/3.7+2.51/(F7*SQRT(O7))))^(-2))),"")</f>
        <v>0.0195281518922101</v>
      </c>
      <c r="Q7" s="27" t="n">
        <f aca="false">IFERROR(IF(F7=0,0,IF(F7&lt;2300,L7,(-2*LOG10((IF(D7="",Trykkberegning!$E$15,D7)/C7)/3.7+2.51/(F7*SQRT(P7))))^(-2))),"")</f>
        <v>0.0195281537148729</v>
      </c>
      <c r="R7" s="27" t="n">
        <f aca="false">IFERROR(IF(F7=0,0,IF(F7&lt;2300,L7,(-2*LOG10((IF(D7="",Trykkberegning!$E$15,D7)/C7)/3.7+2.51/(F7*SQRT(Q7))))^(-2))),"")</f>
        <v>0.0195281536170635</v>
      </c>
    </row>
    <row r="8" customFormat="false" ht="22.5" hidden="false" customHeight="true" outlineLevel="0" collapsed="false">
      <c r="A8" s="16"/>
      <c r="B8" s="16" t="n">
        <v>0</v>
      </c>
      <c r="C8" s="16"/>
      <c r="D8" s="16"/>
      <c r="E8" s="14" t="str">
        <f aca="false">IFERROR(IF(AND(Beregning!$B$3="OK",C8&gt;0),Beregning!$B$7/(PI()*(C8/1000)^2/4),""),"")</f>
        <v/>
      </c>
      <c r="F8" s="40" t="str">
        <f aca="false">IFERROR(IF(AND(Beregning!$B$3="OK",C8&gt;0),Beregning!$B$10*E8*(C8/1000)/Beregning!$B$9,""),"")</f>
        <v/>
      </c>
      <c r="G8" s="38" t="str">
        <f aca="false">R8</f>
        <v/>
      </c>
      <c r="H8" s="14" t="str">
        <f aca="false">IFERROR(IF(I8="OK",G8*B8/(C8/1000)*Beregning!$B$10*E8^2/2000,""),"")</f>
        <v/>
      </c>
      <c r="I8" s="27" t="str">
        <f aca="false">IFERROR(IF(OR(B8="",B8=0),"Ikke med",IF(OR(NOT(ISNUMBER(B8)),B8&lt;0,NOT(ISNUMBER(C8)),C8&lt;=0),"FEIL: lengde eller diameter",IF(OR(NOT(ISNUMBER(IF(D8="",Trykkberegning!$E$15,D8))),IF(D8="",Trykkberegning!$E$15,D8)&lt;0,IF(D8="",Trykkberegning!$E$15,D8)&gt;=C8),"FEIL: ruhet",IF(Beregning!$B$3&lt;&gt;"OK","Venter på inndata",IF(AND(F8&gt;=2300,F8&lt;4000),"FEIL: overgangsområde",IF(AND(ABS(C8-Trykkberegning!$E$12)&gt;0.000001,COUNTIFS(Reduksjoner!$B$7:$B$31,1,Reduksjoner!$D$7:$D$31,C8)=0),"FEIL: diameter mangler i reduksjonskjeden","OK")))))),"FEIL: kontroller tall")</f>
        <v>Ikke med</v>
      </c>
      <c r="J8" s="16"/>
      <c r="L8" s="27" t="str">
        <f aca="false">IFERROR(IF(F8=0,0,IF(F8&lt;2300,64/F8,(-1.8*LOG10(((IF(D8="",Trykkberegning!$E$15,D8)/C8)/3.7)^1.11+6.9/F8))^(-2))),"")</f>
        <v/>
      </c>
      <c r="M8" s="27" t="str">
        <f aca="false">IFERROR(IF(F8=0,0,IF(F8&lt;2300,L8,(-2*LOG10((IF(D8="",Trykkberegning!$E$15,D8)/C8)/3.7+2.51/(F8*SQRT(L8))))^(-2))),"")</f>
        <v/>
      </c>
      <c r="N8" s="27" t="str">
        <f aca="false">IFERROR(IF(F8=0,0,IF(F8&lt;2300,L8,(-2*LOG10((IF(D8="",Trykkberegning!$E$15,D8)/C8)/3.7+2.51/(F8*SQRT(M8))))^(-2))),"")</f>
        <v/>
      </c>
      <c r="O8" s="27" t="str">
        <f aca="false">IFERROR(IF(F8=0,0,IF(F8&lt;2300,L8,(-2*LOG10((IF(D8="",Trykkberegning!$E$15,D8)/C8)/3.7+2.51/(F8*SQRT(N8))))^(-2))),"")</f>
        <v/>
      </c>
      <c r="P8" s="27" t="str">
        <f aca="false">IFERROR(IF(F8=0,0,IF(F8&lt;2300,L8,(-2*LOG10((IF(D8="",Trykkberegning!$E$15,D8)/C8)/3.7+2.51/(F8*SQRT(O8))))^(-2))),"")</f>
        <v/>
      </c>
      <c r="Q8" s="27" t="str">
        <f aca="false">IFERROR(IF(F8=0,0,IF(F8&lt;2300,L8,(-2*LOG10((IF(D8="",Trykkberegning!$E$15,D8)/C8)/3.7+2.51/(F8*SQRT(P8))))^(-2))),"")</f>
        <v/>
      </c>
      <c r="R8" s="27" t="str">
        <f aca="false">IFERROR(IF(F8=0,0,IF(F8&lt;2300,L8,(-2*LOG10((IF(D8="",Trykkberegning!$E$15,D8)/C8)/3.7+2.51/(F8*SQRT(Q8))))^(-2))),"")</f>
        <v/>
      </c>
    </row>
    <row r="9" customFormat="false" ht="22.5" hidden="false" customHeight="true" outlineLevel="0" collapsed="false">
      <c r="A9" s="16"/>
      <c r="B9" s="16" t="n">
        <v>0</v>
      </c>
      <c r="C9" s="16"/>
      <c r="D9" s="16"/>
      <c r="E9" s="14" t="str">
        <f aca="false">IFERROR(IF(AND(Beregning!$B$3="OK",C9&gt;0),Beregning!$B$7/(PI()*(C9/1000)^2/4),""),"")</f>
        <v/>
      </c>
      <c r="F9" s="40" t="str">
        <f aca="false">IFERROR(IF(AND(Beregning!$B$3="OK",C9&gt;0),Beregning!$B$10*E9*(C9/1000)/Beregning!$B$9,""),"")</f>
        <v/>
      </c>
      <c r="G9" s="38" t="str">
        <f aca="false">R9</f>
        <v/>
      </c>
      <c r="H9" s="14" t="str">
        <f aca="false">IFERROR(IF(I9="OK",G9*B9/(C9/1000)*Beregning!$B$10*E9^2/2000,""),"")</f>
        <v/>
      </c>
      <c r="I9" s="27" t="str">
        <f aca="false">IFERROR(IF(OR(B9="",B9=0),"Ikke med",IF(OR(NOT(ISNUMBER(B9)),B9&lt;0,NOT(ISNUMBER(C9)),C9&lt;=0),"FEIL: lengde eller diameter",IF(OR(NOT(ISNUMBER(IF(D9="",Trykkberegning!$E$15,D9))),IF(D9="",Trykkberegning!$E$15,D9)&lt;0,IF(D9="",Trykkberegning!$E$15,D9)&gt;=C9),"FEIL: ruhet",IF(Beregning!$B$3&lt;&gt;"OK","Venter på inndata",IF(AND(F9&gt;=2300,F9&lt;4000),"FEIL: overgangsområde",IF(AND(ABS(C9-Trykkberegning!$E$12)&gt;0.000001,COUNTIFS(Reduksjoner!$B$7:$B$31,1,Reduksjoner!$D$7:$D$31,C9)=0),"FEIL: diameter mangler i reduksjonskjeden","OK")))))),"FEIL: kontroller tall")</f>
        <v>Ikke med</v>
      </c>
      <c r="J9" s="16"/>
      <c r="L9" s="27" t="str">
        <f aca="false">IFERROR(IF(F9=0,0,IF(F9&lt;2300,64/F9,(-1.8*LOG10(((IF(D9="",Trykkberegning!$E$15,D9)/C9)/3.7)^1.11+6.9/F9))^(-2))),"")</f>
        <v/>
      </c>
      <c r="M9" s="27" t="str">
        <f aca="false">IFERROR(IF(F9=0,0,IF(F9&lt;2300,L9,(-2*LOG10((IF(D9="",Trykkberegning!$E$15,D9)/C9)/3.7+2.51/(F9*SQRT(L9))))^(-2))),"")</f>
        <v/>
      </c>
      <c r="N9" s="27" t="str">
        <f aca="false">IFERROR(IF(F9=0,0,IF(F9&lt;2300,L9,(-2*LOG10((IF(D9="",Trykkberegning!$E$15,D9)/C9)/3.7+2.51/(F9*SQRT(M9))))^(-2))),"")</f>
        <v/>
      </c>
      <c r="O9" s="27" t="str">
        <f aca="false">IFERROR(IF(F9=0,0,IF(F9&lt;2300,L9,(-2*LOG10((IF(D9="",Trykkberegning!$E$15,D9)/C9)/3.7+2.51/(F9*SQRT(N9))))^(-2))),"")</f>
        <v/>
      </c>
      <c r="P9" s="27" t="str">
        <f aca="false">IFERROR(IF(F9=0,0,IF(F9&lt;2300,L9,(-2*LOG10((IF(D9="",Trykkberegning!$E$15,D9)/C9)/3.7+2.51/(F9*SQRT(O9))))^(-2))),"")</f>
        <v/>
      </c>
      <c r="Q9" s="27" t="str">
        <f aca="false">IFERROR(IF(F9=0,0,IF(F9&lt;2300,L9,(-2*LOG10((IF(D9="",Trykkberegning!$E$15,D9)/C9)/3.7+2.51/(F9*SQRT(P9))))^(-2))),"")</f>
        <v/>
      </c>
      <c r="R9" s="27" t="str">
        <f aca="false">IFERROR(IF(F9=0,0,IF(F9&lt;2300,L9,(-2*LOG10((IF(D9="",Trykkberegning!$E$15,D9)/C9)/3.7+2.51/(F9*SQRT(Q9))))^(-2))),"")</f>
        <v/>
      </c>
    </row>
    <row r="10" customFormat="false" ht="22.5" hidden="false" customHeight="true" outlineLevel="0" collapsed="false">
      <c r="A10" s="16"/>
      <c r="B10" s="16" t="n">
        <v>0</v>
      </c>
      <c r="C10" s="16"/>
      <c r="D10" s="16"/>
      <c r="E10" s="14" t="str">
        <f aca="false">IFERROR(IF(AND(Beregning!$B$3="OK",C10&gt;0),Beregning!$B$7/(PI()*(C10/1000)^2/4),""),"")</f>
        <v/>
      </c>
      <c r="F10" s="40" t="str">
        <f aca="false">IFERROR(IF(AND(Beregning!$B$3="OK",C10&gt;0),Beregning!$B$10*E10*(C10/1000)/Beregning!$B$9,""),"")</f>
        <v/>
      </c>
      <c r="G10" s="38" t="str">
        <f aca="false">R10</f>
        <v/>
      </c>
      <c r="H10" s="14" t="str">
        <f aca="false">IFERROR(IF(I10="OK",G10*B10/(C10/1000)*Beregning!$B$10*E10^2/2000,""),"")</f>
        <v/>
      </c>
      <c r="I10" s="27" t="str">
        <f aca="false">IFERROR(IF(OR(B10="",B10=0),"Ikke med",IF(OR(NOT(ISNUMBER(B10)),B10&lt;0,NOT(ISNUMBER(C10)),C10&lt;=0),"FEIL: lengde eller diameter",IF(OR(NOT(ISNUMBER(IF(D10="",Trykkberegning!$E$15,D10))),IF(D10="",Trykkberegning!$E$15,D10)&lt;0,IF(D10="",Trykkberegning!$E$15,D10)&gt;=C10),"FEIL: ruhet",IF(Beregning!$B$3&lt;&gt;"OK","Venter på inndata",IF(AND(F10&gt;=2300,F10&lt;4000),"FEIL: overgangsområde",IF(AND(ABS(C10-Trykkberegning!$E$12)&gt;0.000001,COUNTIFS(Reduksjoner!$B$7:$B$31,1,Reduksjoner!$D$7:$D$31,C10)=0),"FEIL: diameter mangler i reduksjonskjeden","OK")))))),"FEIL: kontroller tall")</f>
        <v>Ikke med</v>
      </c>
      <c r="J10" s="16"/>
      <c r="L10" s="27" t="str">
        <f aca="false">IFERROR(IF(F10=0,0,IF(F10&lt;2300,64/F10,(-1.8*LOG10(((IF(D10="",Trykkberegning!$E$15,D10)/C10)/3.7)^1.11+6.9/F10))^(-2))),"")</f>
        <v/>
      </c>
      <c r="M10" s="27" t="str">
        <f aca="false">IFERROR(IF(F10=0,0,IF(F10&lt;2300,L10,(-2*LOG10((IF(D10="",Trykkberegning!$E$15,D10)/C10)/3.7+2.51/(F10*SQRT(L10))))^(-2))),"")</f>
        <v/>
      </c>
      <c r="N10" s="27" t="str">
        <f aca="false">IFERROR(IF(F10=0,0,IF(F10&lt;2300,L10,(-2*LOG10((IF(D10="",Trykkberegning!$E$15,D10)/C10)/3.7+2.51/(F10*SQRT(M10))))^(-2))),"")</f>
        <v/>
      </c>
      <c r="O10" s="27" t="str">
        <f aca="false">IFERROR(IF(F10=0,0,IF(F10&lt;2300,L10,(-2*LOG10((IF(D10="",Trykkberegning!$E$15,D10)/C10)/3.7+2.51/(F10*SQRT(N10))))^(-2))),"")</f>
        <v/>
      </c>
      <c r="P10" s="27" t="str">
        <f aca="false">IFERROR(IF(F10=0,0,IF(F10&lt;2300,L10,(-2*LOG10((IF(D10="",Trykkberegning!$E$15,D10)/C10)/3.7+2.51/(F10*SQRT(O10))))^(-2))),"")</f>
        <v/>
      </c>
      <c r="Q10" s="27" t="str">
        <f aca="false">IFERROR(IF(F10=0,0,IF(F10&lt;2300,L10,(-2*LOG10((IF(D10="",Trykkberegning!$E$15,D10)/C10)/3.7+2.51/(F10*SQRT(P10))))^(-2))),"")</f>
        <v/>
      </c>
      <c r="R10" s="27" t="str">
        <f aca="false">IFERROR(IF(F10=0,0,IF(F10&lt;2300,L10,(-2*LOG10((IF(D10="",Trykkberegning!$E$15,D10)/C10)/3.7+2.51/(F10*SQRT(Q10))))^(-2))),"")</f>
        <v/>
      </c>
    </row>
    <row r="11" customFormat="false" ht="22.5" hidden="false" customHeight="true" outlineLevel="0" collapsed="false">
      <c r="A11" s="16"/>
      <c r="B11" s="16" t="n">
        <v>0</v>
      </c>
      <c r="C11" s="16"/>
      <c r="D11" s="16"/>
      <c r="E11" s="14" t="str">
        <f aca="false">IFERROR(IF(AND(Beregning!$B$3="OK",C11&gt;0),Beregning!$B$7/(PI()*(C11/1000)^2/4),""),"")</f>
        <v/>
      </c>
      <c r="F11" s="40" t="str">
        <f aca="false">IFERROR(IF(AND(Beregning!$B$3="OK",C11&gt;0),Beregning!$B$10*E11*(C11/1000)/Beregning!$B$9,""),"")</f>
        <v/>
      </c>
      <c r="G11" s="38" t="str">
        <f aca="false">R11</f>
        <v/>
      </c>
      <c r="H11" s="14" t="str">
        <f aca="false">IFERROR(IF(I11="OK",G11*B11/(C11/1000)*Beregning!$B$10*E11^2/2000,""),"")</f>
        <v/>
      </c>
      <c r="I11" s="27" t="str">
        <f aca="false">IFERROR(IF(OR(B11="",B11=0),"Ikke med",IF(OR(NOT(ISNUMBER(B11)),B11&lt;0,NOT(ISNUMBER(C11)),C11&lt;=0),"FEIL: lengde eller diameter",IF(OR(NOT(ISNUMBER(IF(D11="",Trykkberegning!$E$15,D11))),IF(D11="",Trykkberegning!$E$15,D11)&lt;0,IF(D11="",Trykkberegning!$E$15,D11)&gt;=C11),"FEIL: ruhet",IF(Beregning!$B$3&lt;&gt;"OK","Venter på inndata",IF(AND(F11&gt;=2300,F11&lt;4000),"FEIL: overgangsområde",IF(AND(ABS(C11-Trykkberegning!$E$12)&gt;0.000001,COUNTIFS(Reduksjoner!$B$7:$B$31,1,Reduksjoner!$D$7:$D$31,C11)=0),"FEIL: diameter mangler i reduksjonskjeden","OK")))))),"FEIL: kontroller tall")</f>
        <v>Ikke med</v>
      </c>
      <c r="J11" s="16"/>
      <c r="L11" s="27" t="str">
        <f aca="false">IFERROR(IF(F11=0,0,IF(F11&lt;2300,64/F11,(-1.8*LOG10(((IF(D11="",Trykkberegning!$E$15,D11)/C11)/3.7)^1.11+6.9/F11))^(-2))),"")</f>
        <v/>
      </c>
      <c r="M11" s="27" t="str">
        <f aca="false">IFERROR(IF(F11=0,0,IF(F11&lt;2300,L11,(-2*LOG10((IF(D11="",Trykkberegning!$E$15,D11)/C11)/3.7+2.51/(F11*SQRT(L11))))^(-2))),"")</f>
        <v/>
      </c>
      <c r="N11" s="27" t="str">
        <f aca="false">IFERROR(IF(F11=0,0,IF(F11&lt;2300,L11,(-2*LOG10((IF(D11="",Trykkberegning!$E$15,D11)/C11)/3.7+2.51/(F11*SQRT(M11))))^(-2))),"")</f>
        <v/>
      </c>
      <c r="O11" s="27" t="str">
        <f aca="false">IFERROR(IF(F11=0,0,IF(F11&lt;2300,L11,(-2*LOG10((IF(D11="",Trykkberegning!$E$15,D11)/C11)/3.7+2.51/(F11*SQRT(N11))))^(-2))),"")</f>
        <v/>
      </c>
      <c r="P11" s="27" t="str">
        <f aca="false">IFERROR(IF(F11=0,0,IF(F11&lt;2300,L11,(-2*LOG10((IF(D11="",Trykkberegning!$E$15,D11)/C11)/3.7+2.51/(F11*SQRT(O11))))^(-2))),"")</f>
        <v/>
      </c>
      <c r="Q11" s="27" t="str">
        <f aca="false">IFERROR(IF(F11=0,0,IF(F11&lt;2300,L11,(-2*LOG10((IF(D11="",Trykkberegning!$E$15,D11)/C11)/3.7+2.51/(F11*SQRT(P11))))^(-2))),"")</f>
        <v/>
      </c>
      <c r="R11" s="27" t="str">
        <f aca="false">IFERROR(IF(F11=0,0,IF(F11&lt;2300,L11,(-2*LOG10((IF(D11="",Trykkberegning!$E$15,D11)/C11)/3.7+2.51/(F11*SQRT(Q11))))^(-2))),"")</f>
        <v/>
      </c>
    </row>
    <row r="12" customFormat="false" ht="22.5" hidden="false" customHeight="true" outlineLevel="0" collapsed="false">
      <c r="A12" s="16"/>
      <c r="B12" s="16" t="n">
        <v>0</v>
      </c>
      <c r="C12" s="16"/>
      <c r="D12" s="16"/>
      <c r="E12" s="14" t="str">
        <f aca="false">IFERROR(IF(AND(Beregning!$B$3="OK",C12&gt;0),Beregning!$B$7/(PI()*(C12/1000)^2/4),""),"")</f>
        <v/>
      </c>
      <c r="F12" s="40" t="str">
        <f aca="false">IFERROR(IF(AND(Beregning!$B$3="OK",C12&gt;0),Beregning!$B$10*E12*(C12/1000)/Beregning!$B$9,""),"")</f>
        <v/>
      </c>
      <c r="G12" s="38" t="str">
        <f aca="false">R12</f>
        <v/>
      </c>
      <c r="H12" s="14" t="str">
        <f aca="false">IFERROR(IF(I12="OK",G12*B12/(C12/1000)*Beregning!$B$10*E12^2/2000,""),"")</f>
        <v/>
      </c>
      <c r="I12" s="27" t="str">
        <f aca="false">IFERROR(IF(OR(B12="",B12=0),"Ikke med",IF(OR(NOT(ISNUMBER(B12)),B12&lt;0,NOT(ISNUMBER(C12)),C12&lt;=0),"FEIL: lengde eller diameter",IF(OR(NOT(ISNUMBER(IF(D12="",Trykkberegning!$E$15,D12))),IF(D12="",Trykkberegning!$E$15,D12)&lt;0,IF(D12="",Trykkberegning!$E$15,D12)&gt;=C12),"FEIL: ruhet",IF(Beregning!$B$3&lt;&gt;"OK","Venter på inndata",IF(AND(F12&gt;=2300,F12&lt;4000),"FEIL: overgangsområde",IF(AND(ABS(C12-Trykkberegning!$E$12)&gt;0.000001,COUNTIFS(Reduksjoner!$B$7:$B$31,1,Reduksjoner!$D$7:$D$31,C12)=0),"FEIL: diameter mangler i reduksjonskjeden","OK")))))),"FEIL: kontroller tall")</f>
        <v>Ikke med</v>
      </c>
      <c r="J12" s="16"/>
      <c r="L12" s="27" t="str">
        <f aca="false">IFERROR(IF(F12=0,0,IF(F12&lt;2300,64/F12,(-1.8*LOG10(((IF(D12="",Trykkberegning!$E$15,D12)/C12)/3.7)^1.11+6.9/F12))^(-2))),"")</f>
        <v/>
      </c>
      <c r="M12" s="27" t="str">
        <f aca="false">IFERROR(IF(F12=0,0,IF(F12&lt;2300,L12,(-2*LOG10((IF(D12="",Trykkberegning!$E$15,D12)/C12)/3.7+2.51/(F12*SQRT(L12))))^(-2))),"")</f>
        <v/>
      </c>
      <c r="N12" s="27" t="str">
        <f aca="false">IFERROR(IF(F12=0,0,IF(F12&lt;2300,L12,(-2*LOG10((IF(D12="",Trykkberegning!$E$15,D12)/C12)/3.7+2.51/(F12*SQRT(M12))))^(-2))),"")</f>
        <v/>
      </c>
      <c r="O12" s="27" t="str">
        <f aca="false">IFERROR(IF(F12=0,0,IF(F12&lt;2300,L12,(-2*LOG10((IF(D12="",Trykkberegning!$E$15,D12)/C12)/3.7+2.51/(F12*SQRT(N12))))^(-2))),"")</f>
        <v/>
      </c>
      <c r="P12" s="27" t="str">
        <f aca="false">IFERROR(IF(F12=0,0,IF(F12&lt;2300,L12,(-2*LOG10((IF(D12="",Trykkberegning!$E$15,D12)/C12)/3.7+2.51/(F12*SQRT(O12))))^(-2))),"")</f>
        <v/>
      </c>
      <c r="Q12" s="27" t="str">
        <f aca="false">IFERROR(IF(F12=0,0,IF(F12&lt;2300,L12,(-2*LOG10((IF(D12="",Trykkberegning!$E$15,D12)/C12)/3.7+2.51/(F12*SQRT(P12))))^(-2))),"")</f>
        <v/>
      </c>
      <c r="R12" s="27" t="str">
        <f aca="false">IFERROR(IF(F12=0,0,IF(F12&lt;2300,L12,(-2*LOG10((IF(D12="",Trykkberegning!$E$15,D12)/C12)/3.7+2.51/(F12*SQRT(Q12))))^(-2))),"")</f>
        <v/>
      </c>
    </row>
    <row r="13" customFormat="false" ht="22.5" hidden="false" customHeight="true" outlineLevel="0" collapsed="false">
      <c r="A13" s="16"/>
      <c r="B13" s="16" t="n">
        <v>0</v>
      </c>
      <c r="C13" s="16"/>
      <c r="D13" s="16"/>
      <c r="E13" s="14" t="str">
        <f aca="false">IFERROR(IF(AND(Beregning!$B$3="OK",C13&gt;0),Beregning!$B$7/(PI()*(C13/1000)^2/4),""),"")</f>
        <v/>
      </c>
      <c r="F13" s="40" t="str">
        <f aca="false">IFERROR(IF(AND(Beregning!$B$3="OK",C13&gt;0),Beregning!$B$10*E13*(C13/1000)/Beregning!$B$9,""),"")</f>
        <v/>
      </c>
      <c r="G13" s="38" t="str">
        <f aca="false">R13</f>
        <v/>
      </c>
      <c r="H13" s="14" t="str">
        <f aca="false">IFERROR(IF(I13="OK",G13*B13/(C13/1000)*Beregning!$B$10*E13^2/2000,""),"")</f>
        <v/>
      </c>
      <c r="I13" s="27" t="str">
        <f aca="false">IFERROR(IF(OR(B13="",B13=0),"Ikke med",IF(OR(NOT(ISNUMBER(B13)),B13&lt;0,NOT(ISNUMBER(C13)),C13&lt;=0),"FEIL: lengde eller diameter",IF(OR(NOT(ISNUMBER(IF(D13="",Trykkberegning!$E$15,D13))),IF(D13="",Trykkberegning!$E$15,D13)&lt;0,IF(D13="",Trykkberegning!$E$15,D13)&gt;=C13),"FEIL: ruhet",IF(Beregning!$B$3&lt;&gt;"OK","Venter på inndata",IF(AND(F13&gt;=2300,F13&lt;4000),"FEIL: overgangsområde",IF(AND(ABS(C13-Trykkberegning!$E$12)&gt;0.000001,COUNTIFS(Reduksjoner!$B$7:$B$31,1,Reduksjoner!$D$7:$D$31,C13)=0),"FEIL: diameter mangler i reduksjonskjeden","OK")))))),"FEIL: kontroller tall")</f>
        <v>Ikke med</v>
      </c>
      <c r="J13" s="16"/>
      <c r="L13" s="27" t="str">
        <f aca="false">IFERROR(IF(F13=0,0,IF(F13&lt;2300,64/F13,(-1.8*LOG10(((IF(D13="",Trykkberegning!$E$15,D13)/C13)/3.7)^1.11+6.9/F13))^(-2))),"")</f>
        <v/>
      </c>
      <c r="M13" s="27" t="str">
        <f aca="false">IFERROR(IF(F13=0,0,IF(F13&lt;2300,L13,(-2*LOG10((IF(D13="",Trykkberegning!$E$15,D13)/C13)/3.7+2.51/(F13*SQRT(L13))))^(-2))),"")</f>
        <v/>
      </c>
      <c r="N13" s="27" t="str">
        <f aca="false">IFERROR(IF(F13=0,0,IF(F13&lt;2300,L13,(-2*LOG10((IF(D13="",Trykkberegning!$E$15,D13)/C13)/3.7+2.51/(F13*SQRT(M13))))^(-2))),"")</f>
        <v/>
      </c>
      <c r="O13" s="27" t="str">
        <f aca="false">IFERROR(IF(F13=0,0,IF(F13&lt;2300,L13,(-2*LOG10((IF(D13="",Trykkberegning!$E$15,D13)/C13)/3.7+2.51/(F13*SQRT(N13))))^(-2))),"")</f>
        <v/>
      </c>
      <c r="P13" s="27" t="str">
        <f aca="false">IFERROR(IF(F13=0,0,IF(F13&lt;2300,L13,(-2*LOG10((IF(D13="",Trykkberegning!$E$15,D13)/C13)/3.7+2.51/(F13*SQRT(O13))))^(-2))),"")</f>
        <v/>
      </c>
      <c r="Q13" s="27" t="str">
        <f aca="false">IFERROR(IF(F13=0,0,IF(F13&lt;2300,L13,(-2*LOG10((IF(D13="",Trykkberegning!$E$15,D13)/C13)/3.7+2.51/(F13*SQRT(P13))))^(-2))),"")</f>
        <v/>
      </c>
      <c r="R13" s="27" t="str">
        <f aca="false">IFERROR(IF(F13=0,0,IF(F13&lt;2300,L13,(-2*LOG10((IF(D13="",Trykkberegning!$E$15,D13)/C13)/3.7+2.51/(F13*SQRT(Q13))))^(-2))),"")</f>
        <v/>
      </c>
    </row>
    <row r="14" customFormat="false" ht="22.5" hidden="false" customHeight="true" outlineLevel="0" collapsed="false">
      <c r="A14" s="16"/>
      <c r="B14" s="16" t="n">
        <v>0</v>
      </c>
      <c r="C14" s="16"/>
      <c r="D14" s="16"/>
      <c r="E14" s="14" t="str">
        <f aca="false">IFERROR(IF(AND(Beregning!$B$3="OK",C14&gt;0),Beregning!$B$7/(PI()*(C14/1000)^2/4),""),"")</f>
        <v/>
      </c>
      <c r="F14" s="40" t="str">
        <f aca="false">IFERROR(IF(AND(Beregning!$B$3="OK",C14&gt;0),Beregning!$B$10*E14*(C14/1000)/Beregning!$B$9,""),"")</f>
        <v/>
      </c>
      <c r="G14" s="38" t="str">
        <f aca="false">R14</f>
        <v/>
      </c>
      <c r="H14" s="14" t="str">
        <f aca="false">IFERROR(IF(I14="OK",G14*B14/(C14/1000)*Beregning!$B$10*E14^2/2000,""),"")</f>
        <v/>
      </c>
      <c r="I14" s="27" t="str">
        <f aca="false">IFERROR(IF(OR(B14="",B14=0),"Ikke med",IF(OR(NOT(ISNUMBER(B14)),B14&lt;0,NOT(ISNUMBER(C14)),C14&lt;=0),"FEIL: lengde eller diameter",IF(OR(NOT(ISNUMBER(IF(D14="",Trykkberegning!$E$15,D14))),IF(D14="",Trykkberegning!$E$15,D14)&lt;0,IF(D14="",Trykkberegning!$E$15,D14)&gt;=C14),"FEIL: ruhet",IF(Beregning!$B$3&lt;&gt;"OK","Venter på inndata",IF(AND(F14&gt;=2300,F14&lt;4000),"FEIL: overgangsområde",IF(AND(ABS(C14-Trykkberegning!$E$12)&gt;0.000001,COUNTIFS(Reduksjoner!$B$7:$B$31,1,Reduksjoner!$D$7:$D$31,C14)=0),"FEIL: diameter mangler i reduksjonskjeden","OK")))))),"FEIL: kontroller tall")</f>
        <v>Ikke med</v>
      </c>
      <c r="J14" s="16"/>
      <c r="L14" s="27" t="str">
        <f aca="false">IFERROR(IF(F14=0,0,IF(F14&lt;2300,64/F14,(-1.8*LOG10(((IF(D14="",Trykkberegning!$E$15,D14)/C14)/3.7)^1.11+6.9/F14))^(-2))),"")</f>
        <v/>
      </c>
      <c r="M14" s="27" t="str">
        <f aca="false">IFERROR(IF(F14=0,0,IF(F14&lt;2300,L14,(-2*LOG10((IF(D14="",Trykkberegning!$E$15,D14)/C14)/3.7+2.51/(F14*SQRT(L14))))^(-2))),"")</f>
        <v/>
      </c>
      <c r="N14" s="27" t="str">
        <f aca="false">IFERROR(IF(F14=0,0,IF(F14&lt;2300,L14,(-2*LOG10((IF(D14="",Trykkberegning!$E$15,D14)/C14)/3.7+2.51/(F14*SQRT(M14))))^(-2))),"")</f>
        <v/>
      </c>
      <c r="O14" s="27" t="str">
        <f aca="false">IFERROR(IF(F14=0,0,IF(F14&lt;2300,L14,(-2*LOG10((IF(D14="",Trykkberegning!$E$15,D14)/C14)/3.7+2.51/(F14*SQRT(N14))))^(-2))),"")</f>
        <v/>
      </c>
      <c r="P14" s="27" t="str">
        <f aca="false">IFERROR(IF(F14=0,0,IF(F14&lt;2300,L14,(-2*LOG10((IF(D14="",Trykkberegning!$E$15,D14)/C14)/3.7+2.51/(F14*SQRT(O14))))^(-2))),"")</f>
        <v/>
      </c>
      <c r="Q14" s="27" t="str">
        <f aca="false">IFERROR(IF(F14=0,0,IF(F14&lt;2300,L14,(-2*LOG10((IF(D14="",Trykkberegning!$E$15,D14)/C14)/3.7+2.51/(F14*SQRT(P14))))^(-2))),"")</f>
        <v/>
      </c>
      <c r="R14" s="27" t="str">
        <f aca="false">IFERROR(IF(F14=0,0,IF(F14&lt;2300,L14,(-2*LOG10((IF(D14="",Trykkberegning!$E$15,D14)/C14)/3.7+2.51/(F14*SQRT(Q14))))^(-2))),"")</f>
        <v/>
      </c>
    </row>
    <row r="15" customFormat="false" ht="22.5" hidden="false" customHeight="true" outlineLevel="0" collapsed="false">
      <c r="A15" s="16"/>
      <c r="B15" s="16" t="n">
        <v>0</v>
      </c>
      <c r="C15" s="16"/>
      <c r="D15" s="16"/>
      <c r="E15" s="14" t="str">
        <f aca="false">IFERROR(IF(AND(Beregning!$B$3="OK",C15&gt;0),Beregning!$B$7/(PI()*(C15/1000)^2/4),""),"")</f>
        <v/>
      </c>
      <c r="F15" s="40" t="str">
        <f aca="false">IFERROR(IF(AND(Beregning!$B$3="OK",C15&gt;0),Beregning!$B$10*E15*(C15/1000)/Beregning!$B$9,""),"")</f>
        <v/>
      </c>
      <c r="G15" s="38" t="str">
        <f aca="false">R15</f>
        <v/>
      </c>
      <c r="H15" s="14" t="str">
        <f aca="false">IFERROR(IF(I15="OK",G15*B15/(C15/1000)*Beregning!$B$10*E15^2/2000,""),"")</f>
        <v/>
      </c>
      <c r="I15" s="27" t="str">
        <f aca="false">IFERROR(IF(OR(B15="",B15=0),"Ikke med",IF(OR(NOT(ISNUMBER(B15)),B15&lt;0,NOT(ISNUMBER(C15)),C15&lt;=0),"FEIL: lengde eller diameter",IF(OR(NOT(ISNUMBER(IF(D15="",Trykkberegning!$E$15,D15))),IF(D15="",Trykkberegning!$E$15,D15)&lt;0,IF(D15="",Trykkberegning!$E$15,D15)&gt;=C15),"FEIL: ruhet",IF(Beregning!$B$3&lt;&gt;"OK","Venter på inndata",IF(AND(F15&gt;=2300,F15&lt;4000),"FEIL: overgangsområde",IF(AND(ABS(C15-Trykkberegning!$E$12)&gt;0.000001,COUNTIFS(Reduksjoner!$B$7:$B$31,1,Reduksjoner!$D$7:$D$31,C15)=0),"FEIL: diameter mangler i reduksjonskjeden","OK")))))),"FEIL: kontroller tall")</f>
        <v>Ikke med</v>
      </c>
      <c r="J15" s="16"/>
      <c r="L15" s="27" t="str">
        <f aca="false">IFERROR(IF(F15=0,0,IF(F15&lt;2300,64/F15,(-1.8*LOG10(((IF(D15="",Trykkberegning!$E$15,D15)/C15)/3.7)^1.11+6.9/F15))^(-2))),"")</f>
        <v/>
      </c>
      <c r="M15" s="27" t="str">
        <f aca="false">IFERROR(IF(F15=0,0,IF(F15&lt;2300,L15,(-2*LOG10((IF(D15="",Trykkberegning!$E$15,D15)/C15)/3.7+2.51/(F15*SQRT(L15))))^(-2))),"")</f>
        <v/>
      </c>
      <c r="N15" s="27" t="str">
        <f aca="false">IFERROR(IF(F15=0,0,IF(F15&lt;2300,L15,(-2*LOG10((IF(D15="",Trykkberegning!$E$15,D15)/C15)/3.7+2.51/(F15*SQRT(M15))))^(-2))),"")</f>
        <v/>
      </c>
      <c r="O15" s="27" t="str">
        <f aca="false">IFERROR(IF(F15=0,0,IF(F15&lt;2300,L15,(-2*LOG10((IF(D15="",Trykkberegning!$E$15,D15)/C15)/3.7+2.51/(F15*SQRT(N15))))^(-2))),"")</f>
        <v/>
      </c>
      <c r="P15" s="27" t="str">
        <f aca="false">IFERROR(IF(F15=0,0,IF(F15&lt;2300,L15,(-2*LOG10((IF(D15="",Trykkberegning!$E$15,D15)/C15)/3.7+2.51/(F15*SQRT(O15))))^(-2))),"")</f>
        <v/>
      </c>
      <c r="Q15" s="27" t="str">
        <f aca="false">IFERROR(IF(F15=0,0,IF(F15&lt;2300,L15,(-2*LOG10((IF(D15="",Trykkberegning!$E$15,D15)/C15)/3.7+2.51/(F15*SQRT(P15))))^(-2))),"")</f>
        <v/>
      </c>
      <c r="R15" s="27" t="str">
        <f aca="false">IFERROR(IF(F15=0,0,IF(F15&lt;2300,L15,(-2*LOG10((IF(D15="",Trykkberegning!$E$15,D15)/C15)/3.7+2.51/(F15*SQRT(Q15))))^(-2))),"")</f>
        <v/>
      </c>
    </row>
    <row r="16" customFormat="false" ht="22.5" hidden="false" customHeight="true" outlineLevel="0" collapsed="false">
      <c r="A16" s="16"/>
      <c r="B16" s="16" t="n">
        <v>0</v>
      </c>
      <c r="C16" s="16"/>
      <c r="D16" s="16"/>
      <c r="E16" s="14" t="str">
        <f aca="false">IFERROR(IF(AND(Beregning!$B$3="OK",C16&gt;0),Beregning!$B$7/(PI()*(C16/1000)^2/4),""),"")</f>
        <v/>
      </c>
      <c r="F16" s="40" t="str">
        <f aca="false">IFERROR(IF(AND(Beregning!$B$3="OK",C16&gt;0),Beregning!$B$10*E16*(C16/1000)/Beregning!$B$9,""),"")</f>
        <v/>
      </c>
      <c r="G16" s="38" t="str">
        <f aca="false">R16</f>
        <v/>
      </c>
      <c r="H16" s="14" t="str">
        <f aca="false">IFERROR(IF(I16="OK",G16*B16/(C16/1000)*Beregning!$B$10*E16^2/2000,""),"")</f>
        <v/>
      </c>
      <c r="I16" s="27" t="str">
        <f aca="false">IFERROR(IF(OR(B16="",B16=0),"Ikke med",IF(OR(NOT(ISNUMBER(B16)),B16&lt;0,NOT(ISNUMBER(C16)),C16&lt;=0),"FEIL: lengde eller diameter",IF(OR(NOT(ISNUMBER(IF(D16="",Trykkberegning!$E$15,D16))),IF(D16="",Trykkberegning!$E$15,D16)&lt;0,IF(D16="",Trykkberegning!$E$15,D16)&gt;=C16),"FEIL: ruhet",IF(Beregning!$B$3&lt;&gt;"OK","Venter på inndata",IF(AND(F16&gt;=2300,F16&lt;4000),"FEIL: overgangsområde",IF(AND(ABS(C16-Trykkberegning!$E$12)&gt;0.000001,COUNTIFS(Reduksjoner!$B$7:$B$31,1,Reduksjoner!$D$7:$D$31,C16)=0),"FEIL: diameter mangler i reduksjonskjeden","OK")))))),"FEIL: kontroller tall")</f>
        <v>Ikke med</v>
      </c>
      <c r="J16" s="16"/>
      <c r="L16" s="27" t="str">
        <f aca="false">IFERROR(IF(F16=0,0,IF(F16&lt;2300,64/F16,(-1.8*LOG10(((IF(D16="",Trykkberegning!$E$15,D16)/C16)/3.7)^1.11+6.9/F16))^(-2))),"")</f>
        <v/>
      </c>
      <c r="M16" s="27" t="str">
        <f aca="false">IFERROR(IF(F16=0,0,IF(F16&lt;2300,L16,(-2*LOG10((IF(D16="",Trykkberegning!$E$15,D16)/C16)/3.7+2.51/(F16*SQRT(L16))))^(-2))),"")</f>
        <v/>
      </c>
      <c r="N16" s="27" t="str">
        <f aca="false">IFERROR(IF(F16=0,0,IF(F16&lt;2300,L16,(-2*LOG10((IF(D16="",Trykkberegning!$E$15,D16)/C16)/3.7+2.51/(F16*SQRT(M16))))^(-2))),"")</f>
        <v/>
      </c>
      <c r="O16" s="27" t="str">
        <f aca="false">IFERROR(IF(F16=0,0,IF(F16&lt;2300,L16,(-2*LOG10((IF(D16="",Trykkberegning!$E$15,D16)/C16)/3.7+2.51/(F16*SQRT(N16))))^(-2))),"")</f>
        <v/>
      </c>
      <c r="P16" s="27" t="str">
        <f aca="false">IFERROR(IF(F16=0,0,IF(F16&lt;2300,L16,(-2*LOG10((IF(D16="",Trykkberegning!$E$15,D16)/C16)/3.7+2.51/(F16*SQRT(O16))))^(-2))),"")</f>
        <v/>
      </c>
      <c r="Q16" s="27" t="str">
        <f aca="false">IFERROR(IF(F16=0,0,IF(F16&lt;2300,L16,(-2*LOG10((IF(D16="",Trykkberegning!$E$15,D16)/C16)/3.7+2.51/(F16*SQRT(P16))))^(-2))),"")</f>
        <v/>
      </c>
      <c r="R16" s="27" t="str">
        <f aca="false">IFERROR(IF(F16=0,0,IF(F16&lt;2300,L16,(-2*LOG10((IF(D16="",Trykkberegning!$E$15,D16)/C16)/3.7+2.51/(F16*SQRT(Q16))))^(-2))),"")</f>
        <v/>
      </c>
    </row>
    <row r="17" customFormat="false" ht="22.5" hidden="false" customHeight="true" outlineLevel="0" collapsed="false">
      <c r="A17" s="16"/>
      <c r="B17" s="16" t="n">
        <v>0</v>
      </c>
      <c r="C17" s="16"/>
      <c r="D17" s="16"/>
      <c r="E17" s="14" t="str">
        <f aca="false">IFERROR(IF(AND(Beregning!$B$3="OK",C17&gt;0),Beregning!$B$7/(PI()*(C17/1000)^2/4),""),"")</f>
        <v/>
      </c>
      <c r="F17" s="40" t="str">
        <f aca="false">IFERROR(IF(AND(Beregning!$B$3="OK",C17&gt;0),Beregning!$B$10*E17*(C17/1000)/Beregning!$B$9,""),"")</f>
        <v/>
      </c>
      <c r="G17" s="38" t="str">
        <f aca="false">R17</f>
        <v/>
      </c>
      <c r="H17" s="14" t="str">
        <f aca="false">IFERROR(IF(I17="OK",G17*B17/(C17/1000)*Beregning!$B$10*E17^2/2000,""),"")</f>
        <v/>
      </c>
      <c r="I17" s="27" t="str">
        <f aca="false">IFERROR(IF(OR(B17="",B17=0),"Ikke med",IF(OR(NOT(ISNUMBER(B17)),B17&lt;0,NOT(ISNUMBER(C17)),C17&lt;=0),"FEIL: lengde eller diameter",IF(OR(NOT(ISNUMBER(IF(D17="",Trykkberegning!$E$15,D17))),IF(D17="",Trykkberegning!$E$15,D17)&lt;0,IF(D17="",Trykkberegning!$E$15,D17)&gt;=C17),"FEIL: ruhet",IF(Beregning!$B$3&lt;&gt;"OK","Venter på inndata",IF(AND(F17&gt;=2300,F17&lt;4000),"FEIL: overgangsområde",IF(AND(ABS(C17-Trykkberegning!$E$12)&gt;0.000001,COUNTIFS(Reduksjoner!$B$7:$B$31,1,Reduksjoner!$D$7:$D$31,C17)=0),"FEIL: diameter mangler i reduksjonskjeden","OK")))))),"FEIL: kontroller tall")</f>
        <v>Ikke med</v>
      </c>
      <c r="J17" s="16"/>
      <c r="L17" s="27" t="str">
        <f aca="false">IFERROR(IF(F17=0,0,IF(F17&lt;2300,64/F17,(-1.8*LOG10(((IF(D17="",Trykkberegning!$E$15,D17)/C17)/3.7)^1.11+6.9/F17))^(-2))),"")</f>
        <v/>
      </c>
      <c r="M17" s="27" t="str">
        <f aca="false">IFERROR(IF(F17=0,0,IF(F17&lt;2300,L17,(-2*LOG10((IF(D17="",Trykkberegning!$E$15,D17)/C17)/3.7+2.51/(F17*SQRT(L17))))^(-2))),"")</f>
        <v/>
      </c>
      <c r="N17" s="27" t="str">
        <f aca="false">IFERROR(IF(F17=0,0,IF(F17&lt;2300,L17,(-2*LOG10((IF(D17="",Trykkberegning!$E$15,D17)/C17)/3.7+2.51/(F17*SQRT(M17))))^(-2))),"")</f>
        <v/>
      </c>
      <c r="O17" s="27" t="str">
        <f aca="false">IFERROR(IF(F17=0,0,IF(F17&lt;2300,L17,(-2*LOG10((IF(D17="",Trykkberegning!$E$15,D17)/C17)/3.7+2.51/(F17*SQRT(N17))))^(-2))),"")</f>
        <v/>
      </c>
      <c r="P17" s="27" t="str">
        <f aca="false">IFERROR(IF(F17=0,0,IF(F17&lt;2300,L17,(-2*LOG10((IF(D17="",Trykkberegning!$E$15,D17)/C17)/3.7+2.51/(F17*SQRT(O17))))^(-2))),"")</f>
        <v/>
      </c>
      <c r="Q17" s="27" t="str">
        <f aca="false">IFERROR(IF(F17=0,0,IF(F17&lt;2300,L17,(-2*LOG10((IF(D17="",Trykkberegning!$E$15,D17)/C17)/3.7+2.51/(F17*SQRT(P17))))^(-2))),"")</f>
        <v/>
      </c>
      <c r="R17" s="27" t="str">
        <f aca="false">IFERROR(IF(F17=0,0,IF(F17&lt;2300,L17,(-2*LOG10((IF(D17="",Trykkberegning!$E$15,D17)/C17)/3.7+2.51/(F17*SQRT(Q17))))^(-2))),"")</f>
        <v/>
      </c>
    </row>
    <row r="18" customFormat="false" ht="22.5" hidden="false" customHeight="true" outlineLevel="0" collapsed="false">
      <c r="A18" s="16"/>
      <c r="B18" s="16" t="n">
        <v>0</v>
      </c>
      <c r="C18" s="16"/>
      <c r="D18" s="16"/>
      <c r="E18" s="14" t="str">
        <f aca="false">IFERROR(IF(AND(Beregning!$B$3="OK",C18&gt;0),Beregning!$B$7/(PI()*(C18/1000)^2/4),""),"")</f>
        <v/>
      </c>
      <c r="F18" s="40" t="str">
        <f aca="false">IFERROR(IF(AND(Beregning!$B$3="OK",C18&gt;0),Beregning!$B$10*E18*(C18/1000)/Beregning!$B$9,""),"")</f>
        <v/>
      </c>
      <c r="G18" s="38" t="str">
        <f aca="false">R18</f>
        <v/>
      </c>
      <c r="H18" s="14" t="str">
        <f aca="false">IFERROR(IF(I18="OK",G18*B18/(C18/1000)*Beregning!$B$10*E18^2/2000,""),"")</f>
        <v/>
      </c>
      <c r="I18" s="27" t="str">
        <f aca="false">IFERROR(IF(OR(B18="",B18=0),"Ikke med",IF(OR(NOT(ISNUMBER(B18)),B18&lt;0,NOT(ISNUMBER(C18)),C18&lt;=0),"FEIL: lengde eller diameter",IF(OR(NOT(ISNUMBER(IF(D18="",Trykkberegning!$E$15,D18))),IF(D18="",Trykkberegning!$E$15,D18)&lt;0,IF(D18="",Trykkberegning!$E$15,D18)&gt;=C18),"FEIL: ruhet",IF(Beregning!$B$3&lt;&gt;"OK","Venter på inndata",IF(AND(F18&gt;=2300,F18&lt;4000),"FEIL: overgangsområde",IF(AND(ABS(C18-Trykkberegning!$E$12)&gt;0.000001,COUNTIFS(Reduksjoner!$B$7:$B$31,1,Reduksjoner!$D$7:$D$31,C18)=0),"FEIL: diameter mangler i reduksjonskjeden","OK")))))),"FEIL: kontroller tall")</f>
        <v>Ikke med</v>
      </c>
      <c r="J18" s="16"/>
      <c r="L18" s="27" t="str">
        <f aca="false">IFERROR(IF(F18=0,0,IF(F18&lt;2300,64/F18,(-1.8*LOG10(((IF(D18="",Trykkberegning!$E$15,D18)/C18)/3.7)^1.11+6.9/F18))^(-2))),"")</f>
        <v/>
      </c>
      <c r="M18" s="27" t="str">
        <f aca="false">IFERROR(IF(F18=0,0,IF(F18&lt;2300,L18,(-2*LOG10((IF(D18="",Trykkberegning!$E$15,D18)/C18)/3.7+2.51/(F18*SQRT(L18))))^(-2))),"")</f>
        <v/>
      </c>
      <c r="N18" s="27" t="str">
        <f aca="false">IFERROR(IF(F18=0,0,IF(F18&lt;2300,L18,(-2*LOG10((IF(D18="",Trykkberegning!$E$15,D18)/C18)/3.7+2.51/(F18*SQRT(M18))))^(-2))),"")</f>
        <v/>
      </c>
      <c r="O18" s="27" t="str">
        <f aca="false">IFERROR(IF(F18=0,0,IF(F18&lt;2300,L18,(-2*LOG10((IF(D18="",Trykkberegning!$E$15,D18)/C18)/3.7+2.51/(F18*SQRT(N18))))^(-2))),"")</f>
        <v/>
      </c>
      <c r="P18" s="27" t="str">
        <f aca="false">IFERROR(IF(F18=0,0,IF(F18&lt;2300,L18,(-2*LOG10((IF(D18="",Trykkberegning!$E$15,D18)/C18)/3.7+2.51/(F18*SQRT(O18))))^(-2))),"")</f>
        <v/>
      </c>
      <c r="Q18" s="27" t="str">
        <f aca="false">IFERROR(IF(F18=0,0,IF(F18&lt;2300,L18,(-2*LOG10((IF(D18="",Trykkberegning!$E$15,D18)/C18)/3.7+2.51/(F18*SQRT(P18))))^(-2))),"")</f>
        <v/>
      </c>
      <c r="R18" s="27" t="str">
        <f aca="false">IFERROR(IF(F18=0,0,IF(F18&lt;2300,L18,(-2*LOG10((IF(D18="",Trykkberegning!$E$15,D18)/C18)/3.7+2.51/(F18*SQRT(Q18))))^(-2))),"")</f>
        <v/>
      </c>
    </row>
    <row r="19" customFormat="false" ht="22.5" hidden="false" customHeight="true" outlineLevel="0" collapsed="false">
      <c r="A19" s="16"/>
      <c r="B19" s="16" t="n">
        <v>0</v>
      </c>
      <c r="C19" s="16"/>
      <c r="D19" s="16"/>
      <c r="E19" s="14" t="str">
        <f aca="false">IFERROR(IF(AND(Beregning!$B$3="OK",C19&gt;0),Beregning!$B$7/(PI()*(C19/1000)^2/4),""),"")</f>
        <v/>
      </c>
      <c r="F19" s="40" t="str">
        <f aca="false">IFERROR(IF(AND(Beregning!$B$3="OK",C19&gt;0),Beregning!$B$10*E19*(C19/1000)/Beregning!$B$9,""),"")</f>
        <v/>
      </c>
      <c r="G19" s="38" t="str">
        <f aca="false">R19</f>
        <v/>
      </c>
      <c r="H19" s="14" t="str">
        <f aca="false">IFERROR(IF(I19="OK",G19*B19/(C19/1000)*Beregning!$B$10*E19^2/2000,""),"")</f>
        <v/>
      </c>
      <c r="I19" s="27" t="str">
        <f aca="false">IFERROR(IF(OR(B19="",B19=0),"Ikke med",IF(OR(NOT(ISNUMBER(B19)),B19&lt;0,NOT(ISNUMBER(C19)),C19&lt;=0),"FEIL: lengde eller diameter",IF(OR(NOT(ISNUMBER(IF(D19="",Trykkberegning!$E$15,D19))),IF(D19="",Trykkberegning!$E$15,D19)&lt;0,IF(D19="",Trykkberegning!$E$15,D19)&gt;=C19),"FEIL: ruhet",IF(Beregning!$B$3&lt;&gt;"OK","Venter på inndata",IF(AND(F19&gt;=2300,F19&lt;4000),"FEIL: overgangsområde",IF(AND(ABS(C19-Trykkberegning!$E$12)&gt;0.000001,COUNTIFS(Reduksjoner!$B$7:$B$31,1,Reduksjoner!$D$7:$D$31,C19)=0),"FEIL: diameter mangler i reduksjonskjeden","OK")))))),"FEIL: kontroller tall")</f>
        <v>Ikke med</v>
      </c>
      <c r="J19" s="16"/>
      <c r="L19" s="27" t="str">
        <f aca="false">IFERROR(IF(F19=0,0,IF(F19&lt;2300,64/F19,(-1.8*LOG10(((IF(D19="",Trykkberegning!$E$15,D19)/C19)/3.7)^1.11+6.9/F19))^(-2))),"")</f>
        <v/>
      </c>
      <c r="M19" s="27" t="str">
        <f aca="false">IFERROR(IF(F19=0,0,IF(F19&lt;2300,L19,(-2*LOG10((IF(D19="",Trykkberegning!$E$15,D19)/C19)/3.7+2.51/(F19*SQRT(L19))))^(-2))),"")</f>
        <v/>
      </c>
      <c r="N19" s="27" t="str">
        <f aca="false">IFERROR(IF(F19=0,0,IF(F19&lt;2300,L19,(-2*LOG10((IF(D19="",Trykkberegning!$E$15,D19)/C19)/3.7+2.51/(F19*SQRT(M19))))^(-2))),"")</f>
        <v/>
      </c>
      <c r="O19" s="27" t="str">
        <f aca="false">IFERROR(IF(F19=0,0,IF(F19&lt;2300,L19,(-2*LOG10((IF(D19="",Trykkberegning!$E$15,D19)/C19)/3.7+2.51/(F19*SQRT(N19))))^(-2))),"")</f>
        <v/>
      </c>
      <c r="P19" s="27" t="str">
        <f aca="false">IFERROR(IF(F19=0,0,IF(F19&lt;2300,L19,(-2*LOG10((IF(D19="",Trykkberegning!$E$15,D19)/C19)/3.7+2.51/(F19*SQRT(O19))))^(-2))),"")</f>
        <v/>
      </c>
      <c r="Q19" s="27" t="str">
        <f aca="false">IFERROR(IF(F19=0,0,IF(F19&lt;2300,L19,(-2*LOG10((IF(D19="",Trykkberegning!$E$15,D19)/C19)/3.7+2.51/(F19*SQRT(P19))))^(-2))),"")</f>
        <v/>
      </c>
      <c r="R19" s="27" t="str">
        <f aca="false">IFERROR(IF(F19=0,0,IF(F19&lt;2300,L19,(-2*LOG10((IF(D19="",Trykkberegning!$E$15,D19)/C19)/3.7+2.51/(F19*SQRT(Q19))))^(-2))),"")</f>
        <v/>
      </c>
    </row>
    <row r="20" customFormat="false" ht="22.5" hidden="false" customHeight="true" outlineLevel="0" collapsed="false">
      <c r="A20" s="16"/>
      <c r="B20" s="16" t="n">
        <v>0</v>
      </c>
      <c r="C20" s="16"/>
      <c r="D20" s="16"/>
      <c r="E20" s="14" t="str">
        <f aca="false">IFERROR(IF(AND(Beregning!$B$3="OK",C20&gt;0),Beregning!$B$7/(PI()*(C20/1000)^2/4),""),"")</f>
        <v/>
      </c>
      <c r="F20" s="40" t="str">
        <f aca="false">IFERROR(IF(AND(Beregning!$B$3="OK",C20&gt;0),Beregning!$B$10*E20*(C20/1000)/Beregning!$B$9,""),"")</f>
        <v/>
      </c>
      <c r="G20" s="38" t="str">
        <f aca="false">R20</f>
        <v/>
      </c>
      <c r="H20" s="14" t="str">
        <f aca="false">IFERROR(IF(I20="OK",G20*B20/(C20/1000)*Beregning!$B$10*E20^2/2000,""),"")</f>
        <v/>
      </c>
      <c r="I20" s="27" t="str">
        <f aca="false">IFERROR(IF(OR(B20="",B20=0),"Ikke med",IF(OR(NOT(ISNUMBER(B20)),B20&lt;0,NOT(ISNUMBER(C20)),C20&lt;=0),"FEIL: lengde eller diameter",IF(OR(NOT(ISNUMBER(IF(D20="",Trykkberegning!$E$15,D20))),IF(D20="",Trykkberegning!$E$15,D20)&lt;0,IF(D20="",Trykkberegning!$E$15,D20)&gt;=C20),"FEIL: ruhet",IF(Beregning!$B$3&lt;&gt;"OK","Venter på inndata",IF(AND(F20&gt;=2300,F20&lt;4000),"FEIL: overgangsområde",IF(AND(ABS(C20-Trykkberegning!$E$12)&gt;0.000001,COUNTIFS(Reduksjoner!$B$7:$B$31,1,Reduksjoner!$D$7:$D$31,C20)=0),"FEIL: diameter mangler i reduksjonskjeden","OK")))))),"FEIL: kontroller tall")</f>
        <v>Ikke med</v>
      </c>
      <c r="J20" s="16"/>
      <c r="L20" s="27" t="str">
        <f aca="false">IFERROR(IF(F20=0,0,IF(F20&lt;2300,64/F20,(-1.8*LOG10(((IF(D20="",Trykkberegning!$E$15,D20)/C20)/3.7)^1.11+6.9/F20))^(-2))),"")</f>
        <v/>
      </c>
      <c r="M20" s="27" t="str">
        <f aca="false">IFERROR(IF(F20=0,0,IF(F20&lt;2300,L20,(-2*LOG10((IF(D20="",Trykkberegning!$E$15,D20)/C20)/3.7+2.51/(F20*SQRT(L20))))^(-2))),"")</f>
        <v/>
      </c>
      <c r="N20" s="27" t="str">
        <f aca="false">IFERROR(IF(F20=0,0,IF(F20&lt;2300,L20,(-2*LOG10((IF(D20="",Trykkberegning!$E$15,D20)/C20)/3.7+2.51/(F20*SQRT(M20))))^(-2))),"")</f>
        <v/>
      </c>
      <c r="O20" s="27" t="str">
        <f aca="false">IFERROR(IF(F20=0,0,IF(F20&lt;2300,L20,(-2*LOG10((IF(D20="",Trykkberegning!$E$15,D20)/C20)/3.7+2.51/(F20*SQRT(N20))))^(-2))),"")</f>
        <v/>
      </c>
      <c r="P20" s="27" t="str">
        <f aca="false">IFERROR(IF(F20=0,0,IF(F20&lt;2300,L20,(-2*LOG10((IF(D20="",Trykkberegning!$E$15,D20)/C20)/3.7+2.51/(F20*SQRT(O20))))^(-2))),"")</f>
        <v/>
      </c>
      <c r="Q20" s="27" t="str">
        <f aca="false">IFERROR(IF(F20=0,0,IF(F20&lt;2300,L20,(-2*LOG10((IF(D20="",Trykkberegning!$E$15,D20)/C20)/3.7+2.51/(F20*SQRT(P20))))^(-2))),"")</f>
        <v/>
      </c>
      <c r="R20" s="27" t="str">
        <f aca="false">IFERROR(IF(F20=0,0,IF(F20&lt;2300,L20,(-2*LOG10((IF(D20="",Trykkberegning!$E$15,D20)/C20)/3.7+2.51/(F20*SQRT(Q20))))^(-2))),"")</f>
        <v/>
      </c>
    </row>
    <row r="21" customFormat="false" ht="22.5" hidden="false" customHeight="true" outlineLevel="0" collapsed="false">
      <c r="A21" s="16"/>
      <c r="B21" s="16" t="n">
        <v>0</v>
      </c>
      <c r="C21" s="16"/>
      <c r="D21" s="16"/>
      <c r="E21" s="14" t="str">
        <f aca="false">IFERROR(IF(AND(Beregning!$B$3="OK",C21&gt;0),Beregning!$B$7/(PI()*(C21/1000)^2/4),""),"")</f>
        <v/>
      </c>
      <c r="F21" s="40" t="str">
        <f aca="false">IFERROR(IF(AND(Beregning!$B$3="OK",C21&gt;0),Beregning!$B$10*E21*(C21/1000)/Beregning!$B$9,""),"")</f>
        <v/>
      </c>
      <c r="G21" s="38" t="str">
        <f aca="false">R21</f>
        <v/>
      </c>
      <c r="H21" s="14" t="str">
        <f aca="false">IFERROR(IF(I21="OK",G21*B21/(C21/1000)*Beregning!$B$10*E21^2/2000,""),"")</f>
        <v/>
      </c>
      <c r="I21" s="27" t="str">
        <f aca="false">IFERROR(IF(OR(B21="",B21=0),"Ikke med",IF(OR(NOT(ISNUMBER(B21)),B21&lt;0,NOT(ISNUMBER(C21)),C21&lt;=0),"FEIL: lengde eller diameter",IF(OR(NOT(ISNUMBER(IF(D21="",Trykkberegning!$E$15,D21))),IF(D21="",Trykkberegning!$E$15,D21)&lt;0,IF(D21="",Trykkberegning!$E$15,D21)&gt;=C21),"FEIL: ruhet",IF(Beregning!$B$3&lt;&gt;"OK","Venter på inndata",IF(AND(F21&gt;=2300,F21&lt;4000),"FEIL: overgangsområde",IF(AND(ABS(C21-Trykkberegning!$E$12)&gt;0.000001,COUNTIFS(Reduksjoner!$B$7:$B$31,1,Reduksjoner!$D$7:$D$31,C21)=0),"FEIL: diameter mangler i reduksjonskjeden","OK")))))),"FEIL: kontroller tall")</f>
        <v>Ikke med</v>
      </c>
      <c r="J21" s="16"/>
      <c r="L21" s="27" t="str">
        <f aca="false">IFERROR(IF(F21=0,0,IF(F21&lt;2300,64/F21,(-1.8*LOG10(((IF(D21="",Trykkberegning!$E$15,D21)/C21)/3.7)^1.11+6.9/F21))^(-2))),"")</f>
        <v/>
      </c>
      <c r="M21" s="27" t="str">
        <f aca="false">IFERROR(IF(F21=0,0,IF(F21&lt;2300,L21,(-2*LOG10((IF(D21="",Trykkberegning!$E$15,D21)/C21)/3.7+2.51/(F21*SQRT(L21))))^(-2))),"")</f>
        <v/>
      </c>
      <c r="N21" s="27" t="str">
        <f aca="false">IFERROR(IF(F21=0,0,IF(F21&lt;2300,L21,(-2*LOG10((IF(D21="",Trykkberegning!$E$15,D21)/C21)/3.7+2.51/(F21*SQRT(M21))))^(-2))),"")</f>
        <v/>
      </c>
      <c r="O21" s="27" t="str">
        <f aca="false">IFERROR(IF(F21=0,0,IF(F21&lt;2300,L21,(-2*LOG10((IF(D21="",Trykkberegning!$E$15,D21)/C21)/3.7+2.51/(F21*SQRT(N21))))^(-2))),"")</f>
        <v/>
      </c>
      <c r="P21" s="27" t="str">
        <f aca="false">IFERROR(IF(F21=0,0,IF(F21&lt;2300,L21,(-2*LOG10((IF(D21="",Trykkberegning!$E$15,D21)/C21)/3.7+2.51/(F21*SQRT(O21))))^(-2))),"")</f>
        <v/>
      </c>
      <c r="Q21" s="27" t="str">
        <f aca="false">IFERROR(IF(F21=0,0,IF(F21&lt;2300,L21,(-2*LOG10((IF(D21="",Trykkberegning!$E$15,D21)/C21)/3.7+2.51/(F21*SQRT(P21))))^(-2))),"")</f>
        <v/>
      </c>
      <c r="R21" s="27" t="str">
        <f aca="false">IFERROR(IF(F21=0,0,IF(F21&lt;2300,L21,(-2*LOG10((IF(D21="",Trykkberegning!$E$15,D21)/C21)/3.7+2.51/(F21*SQRT(Q21))))^(-2))),"")</f>
        <v/>
      </c>
    </row>
    <row r="22" customFormat="false" ht="22.5" hidden="false" customHeight="true" outlineLevel="0" collapsed="false">
      <c r="A22" s="16"/>
      <c r="B22" s="16" t="n">
        <v>0</v>
      </c>
      <c r="C22" s="16"/>
      <c r="D22" s="16"/>
      <c r="E22" s="14" t="str">
        <f aca="false">IFERROR(IF(AND(Beregning!$B$3="OK",C22&gt;0),Beregning!$B$7/(PI()*(C22/1000)^2/4),""),"")</f>
        <v/>
      </c>
      <c r="F22" s="40" t="str">
        <f aca="false">IFERROR(IF(AND(Beregning!$B$3="OK",C22&gt;0),Beregning!$B$10*E22*(C22/1000)/Beregning!$B$9,""),"")</f>
        <v/>
      </c>
      <c r="G22" s="38" t="str">
        <f aca="false">R22</f>
        <v/>
      </c>
      <c r="H22" s="14" t="str">
        <f aca="false">IFERROR(IF(I22="OK",G22*B22/(C22/1000)*Beregning!$B$10*E22^2/2000,""),"")</f>
        <v/>
      </c>
      <c r="I22" s="27" t="str">
        <f aca="false">IFERROR(IF(OR(B22="",B22=0),"Ikke med",IF(OR(NOT(ISNUMBER(B22)),B22&lt;0,NOT(ISNUMBER(C22)),C22&lt;=0),"FEIL: lengde eller diameter",IF(OR(NOT(ISNUMBER(IF(D22="",Trykkberegning!$E$15,D22))),IF(D22="",Trykkberegning!$E$15,D22)&lt;0,IF(D22="",Trykkberegning!$E$15,D22)&gt;=C22),"FEIL: ruhet",IF(Beregning!$B$3&lt;&gt;"OK","Venter på inndata",IF(AND(F22&gt;=2300,F22&lt;4000),"FEIL: overgangsområde",IF(AND(ABS(C22-Trykkberegning!$E$12)&gt;0.000001,COUNTIFS(Reduksjoner!$B$7:$B$31,1,Reduksjoner!$D$7:$D$31,C22)=0),"FEIL: diameter mangler i reduksjonskjeden","OK")))))),"FEIL: kontroller tall")</f>
        <v>Ikke med</v>
      </c>
      <c r="J22" s="16"/>
      <c r="L22" s="27" t="str">
        <f aca="false">IFERROR(IF(F22=0,0,IF(F22&lt;2300,64/F22,(-1.8*LOG10(((IF(D22="",Trykkberegning!$E$15,D22)/C22)/3.7)^1.11+6.9/F22))^(-2))),"")</f>
        <v/>
      </c>
      <c r="M22" s="27" t="str">
        <f aca="false">IFERROR(IF(F22=0,0,IF(F22&lt;2300,L22,(-2*LOG10((IF(D22="",Trykkberegning!$E$15,D22)/C22)/3.7+2.51/(F22*SQRT(L22))))^(-2))),"")</f>
        <v/>
      </c>
      <c r="N22" s="27" t="str">
        <f aca="false">IFERROR(IF(F22=0,0,IF(F22&lt;2300,L22,(-2*LOG10((IF(D22="",Trykkberegning!$E$15,D22)/C22)/3.7+2.51/(F22*SQRT(M22))))^(-2))),"")</f>
        <v/>
      </c>
      <c r="O22" s="27" t="str">
        <f aca="false">IFERROR(IF(F22=0,0,IF(F22&lt;2300,L22,(-2*LOG10((IF(D22="",Trykkberegning!$E$15,D22)/C22)/3.7+2.51/(F22*SQRT(N22))))^(-2))),"")</f>
        <v/>
      </c>
      <c r="P22" s="27" t="str">
        <f aca="false">IFERROR(IF(F22=0,0,IF(F22&lt;2300,L22,(-2*LOG10((IF(D22="",Trykkberegning!$E$15,D22)/C22)/3.7+2.51/(F22*SQRT(O22))))^(-2))),"")</f>
        <v/>
      </c>
      <c r="Q22" s="27" t="str">
        <f aca="false">IFERROR(IF(F22=0,0,IF(F22&lt;2300,L22,(-2*LOG10((IF(D22="",Trykkberegning!$E$15,D22)/C22)/3.7+2.51/(F22*SQRT(P22))))^(-2))),"")</f>
        <v/>
      </c>
      <c r="R22" s="27" t="str">
        <f aca="false">IFERROR(IF(F22=0,0,IF(F22&lt;2300,L22,(-2*LOG10((IF(D22="",Trykkberegning!$E$15,D22)/C22)/3.7+2.51/(F22*SQRT(Q22))))^(-2))),"")</f>
        <v/>
      </c>
    </row>
    <row r="23" customFormat="false" ht="22.5" hidden="false" customHeight="true" outlineLevel="0" collapsed="false">
      <c r="A23" s="16"/>
      <c r="B23" s="16" t="n">
        <v>0</v>
      </c>
      <c r="C23" s="16"/>
      <c r="D23" s="16"/>
      <c r="E23" s="14" t="str">
        <f aca="false">IFERROR(IF(AND(Beregning!$B$3="OK",C23&gt;0),Beregning!$B$7/(PI()*(C23/1000)^2/4),""),"")</f>
        <v/>
      </c>
      <c r="F23" s="40" t="str">
        <f aca="false">IFERROR(IF(AND(Beregning!$B$3="OK",C23&gt;0),Beregning!$B$10*E23*(C23/1000)/Beregning!$B$9,""),"")</f>
        <v/>
      </c>
      <c r="G23" s="38" t="str">
        <f aca="false">R23</f>
        <v/>
      </c>
      <c r="H23" s="14" t="str">
        <f aca="false">IFERROR(IF(I23="OK",G23*B23/(C23/1000)*Beregning!$B$10*E23^2/2000,""),"")</f>
        <v/>
      </c>
      <c r="I23" s="27" t="str">
        <f aca="false">IFERROR(IF(OR(B23="",B23=0),"Ikke med",IF(OR(NOT(ISNUMBER(B23)),B23&lt;0,NOT(ISNUMBER(C23)),C23&lt;=0),"FEIL: lengde eller diameter",IF(OR(NOT(ISNUMBER(IF(D23="",Trykkberegning!$E$15,D23))),IF(D23="",Trykkberegning!$E$15,D23)&lt;0,IF(D23="",Trykkberegning!$E$15,D23)&gt;=C23),"FEIL: ruhet",IF(Beregning!$B$3&lt;&gt;"OK","Venter på inndata",IF(AND(F23&gt;=2300,F23&lt;4000),"FEIL: overgangsområde",IF(AND(ABS(C23-Trykkberegning!$E$12)&gt;0.000001,COUNTIFS(Reduksjoner!$B$7:$B$31,1,Reduksjoner!$D$7:$D$31,C23)=0),"FEIL: diameter mangler i reduksjonskjeden","OK")))))),"FEIL: kontroller tall")</f>
        <v>Ikke med</v>
      </c>
      <c r="J23" s="16"/>
      <c r="L23" s="27" t="str">
        <f aca="false">IFERROR(IF(F23=0,0,IF(F23&lt;2300,64/F23,(-1.8*LOG10(((IF(D23="",Trykkberegning!$E$15,D23)/C23)/3.7)^1.11+6.9/F23))^(-2))),"")</f>
        <v/>
      </c>
      <c r="M23" s="27" t="str">
        <f aca="false">IFERROR(IF(F23=0,0,IF(F23&lt;2300,L23,(-2*LOG10((IF(D23="",Trykkberegning!$E$15,D23)/C23)/3.7+2.51/(F23*SQRT(L23))))^(-2))),"")</f>
        <v/>
      </c>
      <c r="N23" s="27" t="str">
        <f aca="false">IFERROR(IF(F23=0,0,IF(F23&lt;2300,L23,(-2*LOG10((IF(D23="",Trykkberegning!$E$15,D23)/C23)/3.7+2.51/(F23*SQRT(M23))))^(-2))),"")</f>
        <v/>
      </c>
      <c r="O23" s="27" t="str">
        <f aca="false">IFERROR(IF(F23=0,0,IF(F23&lt;2300,L23,(-2*LOG10((IF(D23="",Trykkberegning!$E$15,D23)/C23)/3.7+2.51/(F23*SQRT(N23))))^(-2))),"")</f>
        <v/>
      </c>
      <c r="P23" s="27" t="str">
        <f aca="false">IFERROR(IF(F23=0,0,IF(F23&lt;2300,L23,(-2*LOG10((IF(D23="",Trykkberegning!$E$15,D23)/C23)/3.7+2.51/(F23*SQRT(O23))))^(-2))),"")</f>
        <v/>
      </c>
      <c r="Q23" s="27" t="str">
        <f aca="false">IFERROR(IF(F23=0,0,IF(F23&lt;2300,L23,(-2*LOG10((IF(D23="",Trykkberegning!$E$15,D23)/C23)/3.7+2.51/(F23*SQRT(P23))))^(-2))),"")</f>
        <v/>
      </c>
      <c r="R23" s="27" t="str">
        <f aca="false">IFERROR(IF(F23=0,0,IF(F23&lt;2300,L23,(-2*LOG10((IF(D23="",Trykkberegning!$E$15,D23)/C23)/3.7+2.51/(F23*SQRT(Q23))))^(-2))),"")</f>
        <v/>
      </c>
    </row>
    <row r="24" customFormat="false" ht="22.5" hidden="false" customHeight="true" outlineLevel="0" collapsed="false">
      <c r="A24" s="16"/>
      <c r="B24" s="16" t="n">
        <v>0</v>
      </c>
      <c r="C24" s="16"/>
      <c r="D24" s="16"/>
      <c r="E24" s="14" t="str">
        <f aca="false">IFERROR(IF(AND(Beregning!$B$3="OK",C24&gt;0),Beregning!$B$7/(PI()*(C24/1000)^2/4),""),"")</f>
        <v/>
      </c>
      <c r="F24" s="40" t="str">
        <f aca="false">IFERROR(IF(AND(Beregning!$B$3="OK",C24&gt;0),Beregning!$B$10*E24*(C24/1000)/Beregning!$B$9,""),"")</f>
        <v/>
      </c>
      <c r="G24" s="38" t="str">
        <f aca="false">R24</f>
        <v/>
      </c>
      <c r="H24" s="14" t="str">
        <f aca="false">IFERROR(IF(I24="OK",G24*B24/(C24/1000)*Beregning!$B$10*E24^2/2000,""),"")</f>
        <v/>
      </c>
      <c r="I24" s="27" t="str">
        <f aca="false">IFERROR(IF(OR(B24="",B24=0),"Ikke med",IF(OR(NOT(ISNUMBER(B24)),B24&lt;0,NOT(ISNUMBER(C24)),C24&lt;=0),"FEIL: lengde eller diameter",IF(OR(NOT(ISNUMBER(IF(D24="",Trykkberegning!$E$15,D24))),IF(D24="",Trykkberegning!$E$15,D24)&lt;0,IF(D24="",Trykkberegning!$E$15,D24)&gt;=C24),"FEIL: ruhet",IF(Beregning!$B$3&lt;&gt;"OK","Venter på inndata",IF(AND(F24&gt;=2300,F24&lt;4000),"FEIL: overgangsområde",IF(AND(ABS(C24-Trykkberegning!$E$12)&gt;0.000001,COUNTIFS(Reduksjoner!$B$7:$B$31,1,Reduksjoner!$D$7:$D$31,C24)=0),"FEIL: diameter mangler i reduksjonskjeden","OK")))))),"FEIL: kontroller tall")</f>
        <v>Ikke med</v>
      </c>
      <c r="J24" s="16"/>
      <c r="L24" s="27" t="str">
        <f aca="false">IFERROR(IF(F24=0,0,IF(F24&lt;2300,64/F24,(-1.8*LOG10(((IF(D24="",Trykkberegning!$E$15,D24)/C24)/3.7)^1.11+6.9/F24))^(-2))),"")</f>
        <v/>
      </c>
      <c r="M24" s="27" t="str">
        <f aca="false">IFERROR(IF(F24=0,0,IF(F24&lt;2300,L24,(-2*LOG10((IF(D24="",Trykkberegning!$E$15,D24)/C24)/3.7+2.51/(F24*SQRT(L24))))^(-2))),"")</f>
        <v/>
      </c>
      <c r="N24" s="27" t="str">
        <f aca="false">IFERROR(IF(F24=0,0,IF(F24&lt;2300,L24,(-2*LOG10((IF(D24="",Trykkberegning!$E$15,D24)/C24)/3.7+2.51/(F24*SQRT(M24))))^(-2))),"")</f>
        <v/>
      </c>
      <c r="O24" s="27" t="str">
        <f aca="false">IFERROR(IF(F24=0,0,IF(F24&lt;2300,L24,(-2*LOG10((IF(D24="",Trykkberegning!$E$15,D24)/C24)/3.7+2.51/(F24*SQRT(N24))))^(-2))),"")</f>
        <v/>
      </c>
      <c r="P24" s="27" t="str">
        <f aca="false">IFERROR(IF(F24=0,0,IF(F24&lt;2300,L24,(-2*LOG10((IF(D24="",Trykkberegning!$E$15,D24)/C24)/3.7+2.51/(F24*SQRT(O24))))^(-2))),"")</f>
        <v/>
      </c>
      <c r="Q24" s="27" t="str">
        <f aca="false">IFERROR(IF(F24=0,0,IF(F24&lt;2300,L24,(-2*LOG10((IF(D24="",Trykkberegning!$E$15,D24)/C24)/3.7+2.51/(F24*SQRT(P24))))^(-2))),"")</f>
        <v/>
      </c>
      <c r="R24" s="27" t="str">
        <f aca="false">IFERROR(IF(F24=0,0,IF(F24&lt;2300,L24,(-2*LOG10((IF(D24="",Trykkberegning!$E$15,D24)/C24)/3.7+2.51/(F24*SQRT(Q24))))^(-2))),"")</f>
        <v/>
      </c>
    </row>
    <row r="25" customFormat="false" ht="22.5" hidden="false" customHeight="true" outlineLevel="0" collapsed="false">
      <c r="A25" s="16"/>
      <c r="B25" s="16" t="n">
        <v>0</v>
      </c>
      <c r="C25" s="16"/>
      <c r="D25" s="16"/>
      <c r="E25" s="14" t="str">
        <f aca="false">IFERROR(IF(AND(Beregning!$B$3="OK",C25&gt;0),Beregning!$B$7/(PI()*(C25/1000)^2/4),""),"")</f>
        <v/>
      </c>
      <c r="F25" s="40" t="str">
        <f aca="false">IFERROR(IF(AND(Beregning!$B$3="OK",C25&gt;0),Beregning!$B$10*E25*(C25/1000)/Beregning!$B$9,""),"")</f>
        <v/>
      </c>
      <c r="G25" s="38" t="str">
        <f aca="false">R25</f>
        <v/>
      </c>
      <c r="H25" s="14" t="str">
        <f aca="false">IFERROR(IF(I25="OK",G25*B25/(C25/1000)*Beregning!$B$10*E25^2/2000,""),"")</f>
        <v/>
      </c>
      <c r="I25" s="27" t="str">
        <f aca="false">IFERROR(IF(OR(B25="",B25=0),"Ikke med",IF(OR(NOT(ISNUMBER(B25)),B25&lt;0,NOT(ISNUMBER(C25)),C25&lt;=0),"FEIL: lengde eller diameter",IF(OR(NOT(ISNUMBER(IF(D25="",Trykkberegning!$E$15,D25))),IF(D25="",Trykkberegning!$E$15,D25)&lt;0,IF(D25="",Trykkberegning!$E$15,D25)&gt;=C25),"FEIL: ruhet",IF(Beregning!$B$3&lt;&gt;"OK","Venter på inndata",IF(AND(F25&gt;=2300,F25&lt;4000),"FEIL: overgangsområde",IF(AND(ABS(C25-Trykkberegning!$E$12)&gt;0.000001,COUNTIFS(Reduksjoner!$B$7:$B$31,1,Reduksjoner!$D$7:$D$31,C25)=0),"FEIL: diameter mangler i reduksjonskjeden","OK")))))),"FEIL: kontroller tall")</f>
        <v>Ikke med</v>
      </c>
      <c r="J25" s="16"/>
      <c r="L25" s="27" t="str">
        <f aca="false">IFERROR(IF(F25=0,0,IF(F25&lt;2300,64/F25,(-1.8*LOG10(((IF(D25="",Trykkberegning!$E$15,D25)/C25)/3.7)^1.11+6.9/F25))^(-2))),"")</f>
        <v/>
      </c>
      <c r="M25" s="27" t="str">
        <f aca="false">IFERROR(IF(F25=0,0,IF(F25&lt;2300,L25,(-2*LOG10((IF(D25="",Trykkberegning!$E$15,D25)/C25)/3.7+2.51/(F25*SQRT(L25))))^(-2))),"")</f>
        <v/>
      </c>
      <c r="N25" s="27" t="str">
        <f aca="false">IFERROR(IF(F25=0,0,IF(F25&lt;2300,L25,(-2*LOG10((IF(D25="",Trykkberegning!$E$15,D25)/C25)/3.7+2.51/(F25*SQRT(M25))))^(-2))),"")</f>
        <v/>
      </c>
      <c r="O25" s="27" t="str">
        <f aca="false">IFERROR(IF(F25=0,0,IF(F25&lt;2300,L25,(-2*LOG10((IF(D25="",Trykkberegning!$E$15,D25)/C25)/3.7+2.51/(F25*SQRT(N25))))^(-2))),"")</f>
        <v/>
      </c>
      <c r="P25" s="27" t="str">
        <f aca="false">IFERROR(IF(F25=0,0,IF(F25&lt;2300,L25,(-2*LOG10((IF(D25="",Trykkberegning!$E$15,D25)/C25)/3.7+2.51/(F25*SQRT(O25))))^(-2))),"")</f>
        <v/>
      </c>
      <c r="Q25" s="27" t="str">
        <f aca="false">IFERROR(IF(F25=0,0,IF(F25&lt;2300,L25,(-2*LOG10((IF(D25="",Trykkberegning!$E$15,D25)/C25)/3.7+2.51/(F25*SQRT(P25))))^(-2))),"")</f>
        <v/>
      </c>
      <c r="R25" s="27" t="str">
        <f aca="false">IFERROR(IF(F25=0,0,IF(F25&lt;2300,L25,(-2*LOG10((IF(D25="",Trykkberegning!$E$15,D25)/C25)/3.7+2.51/(F25*SQRT(Q25))))^(-2))),"")</f>
        <v/>
      </c>
    </row>
    <row r="26" customFormat="false" ht="22.5" hidden="false" customHeight="true" outlineLevel="0" collapsed="false">
      <c r="A26" s="16"/>
      <c r="B26" s="16" t="n">
        <v>0</v>
      </c>
      <c r="C26" s="16"/>
      <c r="D26" s="16"/>
      <c r="E26" s="14" t="str">
        <f aca="false">IFERROR(IF(AND(Beregning!$B$3="OK",C26&gt;0),Beregning!$B$7/(PI()*(C26/1000)^2/4),""),"")</f>
        <v/>
      </c>
      <c r="F26" s="40" t="str">
        <f aca="false">IFERROR(IF(AND(Beregning!$B$3="OK",C26&gt;0),Beregning!$B$10*E26*(C26/1000)/Beregning!$B$9,""),"")</f>
        <v/>
      </c>
      <c r="G26" s="38" t="str">
        <f aca="false">R26</f>
        <v/>
      </c>
      <c r="H26" s="14" t="str">
        <f aca="false">IFERROR(IF(I26="OK",G26*B26/(C26/1000)*Beregning!$B$10*E26^2/2000,""),"")</f>
        <v/>
      </c>
      <c r="I26" s="27" t="str">
        <f aca="false">IFERROR(IF(OR(B26="",B26=0),"Ikke med",IF(OR(NOT(ISNUMBER(B26)),B26&lt;0,NOT(ISNUMBER(C26)),C26&lt;=0),"FEIL: lengde eller diameter",IF(OR(NOT(ISNUMBER(IF(D26="",Trykkberegning!$E$15,D26))),IF(D26="",Trykkberegning!$E$15,D26)&lt;0,IF(D26="",Trykkberegning!$E$15,D26)&gt;=C26),"FEIL: ruhet",IF(Beregning!$B$3&lt;&gt;"OK","Venter på inndata",IF(AND(F26&gt;=2300,F26&lt;4000),"FEIL: overgangsområde",IF(AND(ABS(C26-Trykkberegning!$E$12)&gt;0.000001,COUNTIFS(Reduksjoner!$B$7:$B$31,1,Reduksjoner!$D$7:$D$31,C26)=0),"FEIL: diameter mangler i reduksjonskjeden","OK")))))),"FEIL: kontroller tall")</f>
        <v>Ikke med</v>
      </c>
      <c r="J26" s="16"/>
      <c r="L26" s="27" t="str">
        <f aca="false">IFERROR(IF(F26=0,0,IF(F26&lt;2300,64/F26,(-1.8*LOG10(((IF(D26="",Trykkberegning!$E$15,D26)/C26)/3.7)^1.11+6.9/F26))^(-2))),"")</f>
        <v/>
      </c>
      <c r="M26" s="27" t="str">
        <f aca="false">IFERROR(IF(F26=0,0,IF(F26&lt;2300,L26,(-2*LOG10((IF(D26="",Trykkberegning!$E$15,D26)/C26)/3.7+2.51/(F26*SQRT(L26))))^(-2))),"")</f>
        <v/>
      </c>
      <c r="N26" s="27" t="str">
        <f aca="false">IFERROR(IF(F26=0,0,IF(F26&lt;2300,L26,(-2*LOG10((IF(D26="",Trykkberegning!$E$15,D26)/C26)/3.7+2.51/(F26*SQRT(M26))))^(-2))),"")</f>
        <v/>
      </c>
      <c r="O26" s="27" t="str">
        <f aca="false">IFERROR(IF(F26=0,0,IF(F26&lt;2300,L26,(-2*LOG10((IF(D26="",Trykkberegning!$E$15,D26)/C26)/3.7+2.51/(F26*SQRT(N26))))^(-2))),"")</f>
        <v/>
      </c>
      <c r="P26" s="27" t="str">
        <f aca="false">IFERROR(IF(F26=0,0,IF(F26&lt;2300,L26,(-2*LOG10((IF(D26="",Trykkberegning!$E$15,D26)/C26)/3.7+2.51/(F26*SQRT(O26))))^(-2))),"")</f>
        <v/>
      </c>
      <c r="Q26" s="27" t="str">
        <f aca="false">IFERROR(IF(F26=0,0,IF(F26&lt;2300,L26,(-2*LOG10((IF(D26="",Trykkberegning!$E$15,D26)/C26)/3.7+2.51/(F26*SQRT(P26))))^(-2))),"")</f>
        <v/>
      </c>
      <c r="R26" s="27" t="str">
        <f aca="false">IFERROR(IF(F26=0,0,IF(F26&lt;2300,L26,(-2*LOG10((IF(D26="",Trykkberegning!$E$15,D26)/C26)/3.7+2.51/(F26*SQRT(Q26))))^(-2))),"")</f>
        <v/>
      </c>
    </row>
    <row r="27" customFormat="false" ht="22.5" hidden="false" customHeight="true" outlineLevel="0" collapsed="false">
      <c r="A27" s="16"/>
      <c r="B27" s="16" t="n">
        <v>0</v>
      </c>
      <c r="C27" s="16"/>
      <c r="D27" s="16"/>
      <c r="E27" s="14" t="str">
        <f aca="false">IFERROR(IF(AND(Beregning!$B$3="OK",C27&gt;0),Beregning!$B$7/(PI()*(C27/1000)^2/4),""),"")</f>
        <v/>
      </c>
      <c r="F27" s="40" t="str">
        <f aca="false">IFERROR(IF(AND(Beregning!$B$3="OK",C27&gt;0),Beregning!$B$10*E27*(C27/1000)/Beregning!$B$9,""),"")</f>
        <v/>
      </c>
      <c r="G27" s="38" t="str">
        <f aca="false">R27</f>
        <v/>
      </c>
      <c r="H27" s="14" t="str">
        <f aca="false">IFERROR(IF(I27="OK",G27*B27/(C27/1000)*Beregning!$B$10*E27^2/2000,""),"")</f>
        <v/>
      </c>
      <c r="I27" s="27" t="str">
        <f aca="false">IFERROR(IF(OR(B27="",B27=0),"Ikke med",IF(OR(NOT(ISNUMBER(B27)),B27&lt;0,NOT(ISNUMBER(C27)),C27&lt;=0),"FEIL: lengde eller diameter",IF(OR(NOT(ISNUMBER(IF(D27="",Trykkberegning!$E$15,D27))),IF(D27="",Trykkberegning!$E$15,D27)&lt;0,IF(D27="",Trykkberegning!$E$15,D27)&gt;=C27),"FEIL: ruhet",IF(Beregning!$B$3&lt;&gt;"OK","Venter på inndata",IF(AND(F27&gt;=2300,F27&lt;4000),"FEIL: overgangsområde",IF(AND(ABS(C27-Trykkberegning!$E$12)&gt;0.000001,COUNTIFS(Reduksjoner!$B$7:$B$31,1,Reduksjoner!$D$7:$D$31,C27)=0),"FEIL: diameter mangler i reduksjonskjeden","OK")))))),"FEIL: kontroller tall")</f>
        <v>Ikke med</v>
      </c>
      <c r="J27" s="16"/>
      <c r="L27" s="27" t="str">
        <f aca="false">IFERROR(IF(F27=0,0,IF(F27&lt;2300,64/F27,(-1.8*LOG10(((IF(D27="",Trykkberegning!$E$15,D27)/C27)/3.7)^1.11+6.9/F27))^(-2))),"")</f>
        <v/>
      </c>
      <c r="M27" s="27" t="str">
        <f aca="false">IFERROR(IF(F27=0,0,IF(F27&lt;2300,L27,(-2*LOG10((IF(D27="",Trykkberegning!$E$15,D27)/C27)/3.7+2.51/(F27*SQRT(L27))))^(-2))),"")</f>
        <v/>
      </c>
      <c r="N27" s="27" t="str">
        <f aca="false">IFERROR(IF(F27=0,0,IF(F27&lt;2300,L27,(-2*LOG10((IF(D27="",Trykkberegning!$E$15,D27)/C27)/3.7+2.51/(F27*SQRT(M27))))^(-2))),"")</f>
        <v/>
      </c>
      <c r="O27" s="27" t="str">
        <f aca="false">IFERROR(IF(F27=0,0,IF(F27&lt;2300,L27,(-2*LOG10((IF(D27="",Trykkberegning!$E$15,D27)/C27)/3.7+2.51/(F27*SQRT(N27))))^(-2))),"")</f>
        <v/>
      </c>
      <c r="P27" s="27" t="str">
        <f aca="false">IFERROR(IF(F27=0,0,IF(F27&lt;2300,L27,(-2*LOG10((IF(D27="",Trykkberegning!$E$15,D27)/C27)/3.7+2.51/(F27*SQRT(O27))))^(-2))),"")</f>
        <v/>
      </c>
      <c r="Q27" s="27" t="str">
        <f aca="false">IFERROR(IF(F27=0,0,IF(F27&lt;2300,L27,(-2*LOG10((IF(D27="",Trykkberegning!$E$15,D27)/C27)/3.7+2.51/(F27*SQRT(P27))))^(-2))),"")</f>
        <v/>
      </c>
      <c r="R27" s="27" t="str">
        <f aca="false">IFERROR(IF(F27=0,0,IF(F27&lt;2300,L27,(-2*LOG10((IF(D27="",Trykkberegning!$E$15,D27)/C27)/3.7+2.51/(F27*SQRT(Q27))))^(-2))),"")</f>
        <v/>
      </c>
    </row>
    <row r="28" customFormat="false" ht="22.5" hidden="false" customHeight="true" outlineLevel="0" collapsed="false">
      <c r="A28" s="16"/>
      <c r="B28" s="16" t="n">
        <v>0</v>
      </c>
      <c r="C28" s="16"/>
      <c r="D28" s="16"/>
      <c r="E28" s="14" t="str">
        <f aca="false">IFERROR(IF(AND(Beregning!$B$3="OK",C28&gt;0),Beregning!$B$7/(PI()*(C28/1000)^2/4),""),"")</f>
        <v/>
      </c>
      <c r="F28" s="40" t="str">
        <f aca="false">IFERROR(IF(AND(Beregning!$B$3="OK",C28&gt;0),Beregning!$B$10*E28*(C28/1000)/Beregning!$B$9,""),"")</f>
        <v/>
      </c>
      <c r="G28" s="38" t="str">
        <f aca="false">R28</f>
        <v/>
      </c>
      <c r="H28" s="14" t="str">
        <f aca="false">IFERROR(IF(I28="OK",G28*B28/(C28/1000)*Beregning!$B$10*E28^2/2000,""),"")</f>
        <v/>
      </c>
      <c r="I28" s="27" t="str">
        <f aca="false">IFERROR(IF(OR(B28="",B28=0),"Ikke med",IF(OR(NOT(ISNUMBER(B28)),B28&lt;0,NOT(ISNUMBER(C28)),C28&lt;=0),"FEIL: lengde eller diameter",IF(OR(NOT(ISNUMBER(IF(D28="",Trykkberegning!$E$15,D28))),IF(D28="",Trykkberegning!$E$15,D28)&lt;0,IF(D28="",Trykkberegning!$E$15,D28)&gt;=C28),"FEIL: ruhet",IF(Beregning!$B$3&lt;&gt;"OK","Venter på inndata",IF(AND(F28&gt;=2300,F28&lt;4000),"FEIL: overgangsområde",IF(AND(ABS(C28-Trykkberegning!$E$12)&gt;0.000001,COUNTIFS(Reduksjoner!$B$7:$B$31,1,Reduksjoner!$D$7:$D$31,C28)=0),"FEIL: diameter mangler i reduksjonskjeden","OK")))))),"FEIL: kontroller tall")</f>
        <v>Ikke med</v>
      </c>
      <c r="J28" s="16"/>
      <c r="L28" s="27" t="str">
        <f aca="false">IFERROR(IF(F28=0,0,IF(F28&lt;2300,64/F28,(-1.8*LOG10(((IF(D28="",Trykkberegning!$E$15,D28)/C28)/3.7)^1.11+6.9/F28))^(-2))),"")</f>
        <v/>
      </c>
      <c r="M28" s="27" t="str">
        <f aca="false">IFERROR(IF(F28=0,0,IF(F28&lt;2300,L28,(-2*LOG10((IF(D28="",Trykkberegning!$E$15,D28)/C28)/3.7+2.51/(F28*SQRT(L28))))^(-2))),"")</f>
        <v/>
      </c>
      <c r="N28" s="27" t="str">
        <f aca="false">IFERROR(IF(F28=0,0,IF(F28&lt;2300,L28,(-2*LOG10((IF(D28="",Trykkberegning!$E$15,D28)/C28)/3.7+2.51/(F28*SQRT(M28))))^(-2))),"")</f>
        <v/>
      </c>
      <c r="O28" s="27" t="str">
        <f aca="false">IFERROR(IF(F28=0,0,IF(F28&lt;2300,L28,(-2*LOG10((IF(D28="",Trykkberegning!$E$15,D28)/C28)/3.7+2.51/(F28*SQRT(N28))))^(-2))),"")</f>
        <v/>
      </c>
      <c r="P28" s="27" t="str">
        <f aca="false">IFERROR(IF(F28=0,0,IF(F28&lt;2300,L28,(-2*LOG10((IF(D28="",Trykkberegning!$E$15,D28)/C28)/3.7+2.51/(F28*SQRT(O28))))^(-2))),"")</f>
        <v/>
      </c>
      <c r="Q28" s="27" t="str">
        <f aca="false">IFERROR(IF(F28=0,0,IF(F28&lt;2300,L28,(-2*LOG10((IF(D28="",Trykkberegning!$E$15,D28)/C28)/3.7+2.51/(F28*SQRT(P28))))^(-2))),"")</f>
        <v/>
      </c>
      <c r="R28" s="27" t="str">
        <f aca="false">IFERROR(IF(F28=0,0,IF(F28&lt;2300,L28,(-2*LOG10((IF(D28="",Trykkberegning!$E$15,D28)/C28)/3.7+2.51/(F28*SQRT(Q28))))^(-2))),"")</f>
        <v/>
      </c>
    </row>
    <row r="29" customFormat="false" ht="22.5" hidden="false" customHeight="true" outlineLevel="0" collapsed="false">
      <c r="A29" s="16"/>
      <c r="B29" s="16" t="n">
        <v>0</v>
      </c>
      <c r="C29" s="16"/>
      <c r="D29" s="16"/>
      <c r="E29" s="14" t="str">
        <f aca="false">IFERROR(IF(AND(Beregning!$B$3="OK",C29&gt;0),Beregning!$B$7/(PI()*(C29/1000)^2/4),""),"")</f>
        <v/>
      </c>
      <c r="F29" s="40" t="str">
        <f aca="false">IFERROR(IF(AND(Beregning!$B$3="OK",C29&gt;0),Beregning!$B$10*E29*(C29/1000)/Beregning!$B$9,""),"")</f>
        <v/>
      </c>
      <c r="G29" s="38" t="str">
        <f aca="false">R29</f>
        <v/>
      </c>
      <c r="H29" s="14" t="str">
        <f aca="false">IFERROR(IF(I29="OK",G29*B29/(C29/1000)*Beregning!$B$10*E29^2/2000,""),"")</f>
        <v/>
      </c>
      <c r="I29" s="27" t="str">
        <f aca="false">IFERROR(IF(OR(B29="",B29=0),"Ikke med",IF(OR(NOT(ISNUMBER(B29)),B29&lt;0,NOT(ISNUMBER(C29)),C29&lt;=0),"FEIL: lengde eller diameter",IF(OR(NOT(ISNUMBER(IF(D29="",Trykkberegning!$E$15,D29))),IF(D29="",Trykkberegning!$E$15,D29)&lt;0,IF(D29="",Trykkberegning!$E$15,D29)&gt;=C29),"FEIL: ruhet",IF(Beregning!$B$3&lt;&gt;"OK","Venter på inndata",IF(AND(F29&gt;=2300,F29&lt;4000),"FEIL: overgangsområde",IF(AND(ABS(C29-Trykkberegning!$E$12)&gt;0.000001,COUNTIFS(Reduksjoner!$B$7:$B$31,1,Reduksjoner!$D$7:$D$31,C29)=0),"FEIL: diameter mangler i reduksjonskjeden","OK")))))),"FEIL: kontroller tall")</f>
        <v>Ikke med</v>
      </c>
      <c r="J29" s="16"/>
      <c r="L29" s="27" t="str">
        <f aca="false">IFERROR(IF(F29=0,0,IF(F29&lt;2300,64/F29,(-1.8*LOG10(((IF(D29="",Trykkberegning!$E$15,D29)/C29)/3.7)^1.11+6.9/F29))^(-2))),"")</f>
        <v/>
      </c>
      <c r="M29" s="27" t="str">
        <f aca="false">IFERROR(IF(F29=0,0,IF(F29&lt;2300,L29,(-2*LOG10((IF(D29="",Trykkberegning!$E$15,D29)/C29)/3.7+2.51/(F29*SQRT(L29))))^(-2))),"")</f>
        <v/>
      </c>
      <c r="N29" s="27" t="str">
        <f aca="false">IFERROR(IF(F29=0,0,IF(F29&lt;2300,L29,(-2*LOG10((IF(D29="",Trykkberegning!$E$15,D29)/C29)/3.7+2.51/(F29*SQRT(M29))))^(-2))),"")</f>
        <v/>
      </c>
      <c r="O29" s="27" t="str">
        <f aca="false">IFERROR(IF(F29=0,0,IF(F29&lt;2300,L29,(-2*LOG10((IF(D29="",Trykkberegning!$E$15,D29)/C29)/3.7+2.51/(F29*SQRT(N29))))^(-2))),"")</f>
        <v/>
      </c>
      <c r="P29" s="27" t="str">
        <f aca="false">IFERROR(IF(F29=0,0,IF(F29&lt;2300,L29,(-2*LOG10((IF(D29="",Trykkberegning!$E$15,D29)/C29)/3.7+2.51/(F29*SQRT(O29))))^(-2))),"")</f>
        <v/>
      </c>
      <c r="Q29" s="27" t="str">
        <f aca="false">IFERROR(IF(F29=0,0,IF(F29&lt;2300,L29,(-2*LOG10((IF(D29="",Trykkberegning!$E$15,D29)/C29)/3.7+2.51/(F29*SQRT(P29))))^(-2))),"")</f>
        <v/>
      </c>
      <c r="R29" s="27" t="str">
        <f aca="false">IFERROR(IF(F29=0,0,IF(F29&lt;2300,L29,(-2*LOG10((IF(D29="",Trykkberegning!$E$15,D29)/C29)/3.7+2.51/(F29*SQRT(Q29))))^(-2))),"")</f>
        <v/>
      </c>
    </row>
    <row r="30" customFormat="false" ht="22.5" hidden="false" customHeight="true" outlineLevel="0" collapsed="false">
      <c r="A30" s="16"/>
      <c r="B30" s="16" t="n">
        <v>0</v>
      </c>
      <c r="C30" s="16"/>
      <c r="D30" s="16"/>
      <c r="E30" s="14" t="str">
        <f aca="false">IFERROR(IF(AND(Beregning!$B$3="OK",C30&gt;0),Beregning!$B$7/(PI()*(C30/1000)^2/4),""),"")</f>
        <v/>
      </c>
      <c r="F30" s="40" t="str">
        <f aca="false">IFERROR(IF(AND(Beregning!$B$3="OK",C30&gt;0),Beregning!$B$10*E30*(C30/1000)/Beregning!$B$9,""),"")</f>
        <v/>
      </c>
      <c r="G30" s="38" t="str">
        <f aca="false">R30</f>
        <v/>
      </c>
      <c r="H30" s="14" t="str">
        <f aca="false">IFERROR(IF(I30="OK",G30*B30/(C30/1000)*Beregning!$B$10*E30^2/2000,""),"")</f>
        <v/>
      </c>
      <c r="I30" s="27" t="str">
        <f aca="false">IFERROR(IF(OR(B30="",B30=0),"Ikke med",IF(OR(NOT(ISNUMBER(B30)),B30&lt;0,NOT(ISNUMBER(C30)),C30&lt;=0),"FEIL: lengde eller diameter",IF(OR(NOT(ISNUMBER(IF(D30="",Trykkberegning!$E$15,D30))),IF(D30="",Trykkberegning!$E$15,D30)&lt;0,IF(D30="",Trykkberegning!$E$15,D30)&gt;=C30),"FEIL: ruhet",IF(Beregning!$B$3&lt;&gt;"OK","Venter på inndata",IF(AND(F30&gt;=2300,F30&lt;4000),"FEIL: overgangsområde",IF(AND(ABS(C30-Trykkberegning!$E$12)&gt;0.000001,COUNTIFS(Reduksjoner!$B$7:$B$31,1,Reduksjoner!$D$7:$D$31,C30)=0),"FEIL: diameter mangler i reduksjonskjeden","OK")))))),"FEIL: kontroller tall")</f>
        <v>Ikke med</v>
      </c>
      <c r="J30" s="16"/>
      <c r="L30" s="27" t="str">
        <f aca="false">IFERROR(IF(F30=0,0,IF(F30&lt;2300,64/F30,(-1.8*LOG10(((IF(D30="",Trykkberegning!$E$15,D30)/C30)/3.7)^1.11+6.9/F30))^(-2))),"")</f>
        <v/>
      </c>
      <c r="M30" s="27" t="str">
        <f aca="false">IFERROR(IF(F30=0,0,IF(F30&lt;2300,L30,(-2*LOG10((IF(D30="",Trykkberegning!$E$15,D30)/C30)/3.7+2.51/(F30*SQRT(L30))))^(-2))),"")</f>
        <v/>
      </c>
      <c r="N30" s="27" t="str">
        <f aca="false">IFERROR(IF(F30=0,0,IF(F30&lt;2300,L30,(-2*LOG10((IF(D30="",Trykkberegning!$E$15,D30)/C30)/3.7+2.51/(F30*SQRT(M30))))^(-2))),"")</f>
        <v/>
      </c>
      <c r="O30" s="27" t="str">
        <f aca="false">IFERROR(IF(F30=0,0,IF(F30&lt;2300,L30,(-2*LOG10((IF(D30="",Trykkberegning!$E$15,D30)/C30)/3.7+2.51/(F30*SQRT(N30))))^(-2))),"")</f>
        <v/>
      </c>
      <c r="P30" s="27" t="str">
        <f aca="false">IFERROR(IF(F30=0,0,IF(F30&lt;2300,L30,(-2*LOG10((IF(D30="",Trykkberegning!$E$15,D30)/C30)/3.7+2.51/(F30*SQRT(O30))))^(-2))),"")</f>
        <v/>
      </c>
      <c r="Q30" s="27" t="str">
        <f aca="false">IFERROR(IF(F30=0,0,IF(F30&lt;2300,L30,(-2*LOG10((IF(D30="",Trykkberegning!$E$15,D30)/C30)/3.7+2.51/(F30*SQRT(P30))))^(-2))),"")</f>
        <v/>
      </c>
      <c r="R30" s="27" t="str">
        <f aca="false">IFERROR(IF(F30=0,0,IF(F30&lt;2300,L30,(-2*LOG10((IF(D30="",Trykkberegning!$E$15,D30)/C30)/3.7+2.51/(F30*SQRT(Q30))))^(-2))),"")</f>
        <v/>
      </c>
    </row>
    <row r="31" customFormat="false" ht="22.5" hidden="false" customHeight="true" outlineLevel="0" collapsed="false">
      <c r="A31" s="16"/>
      <c r="B31" s="16" t="n">
        <v>0</v>
      </c>
      <c r="C31" s="16"/>
      <c r="D31" s="16"/>
      <c r="E31" s="14" t="str">
        <f aca="false">IFERROR(IF(AND(Beregning!$B$3="OK",C31&gt;0),Beregning!$B$7/(PI()*(C31/1000)^2/4),""),"")</f>
        <v/>
      </c>
      <c r="F31" s="40" t="str">
        <f aca="false">IFERROR(IF(AND(Beregning!$B$3="OK",C31&gt;0),Beregning!$B$10*E31*(C31/1000)/Beregning!$B$9,""),"")</f>
        <v/>
      </c>
      <c r="G31" s="38" t="str">
        <f aca="false">R31</f>
        <v/>
      </c>
      <c r="H31" s="14" t="str">
        <f aca="false">IFERROR(IF(I31="OK",G31*B31/(C31/1000)*Beregning!$B$10*E31^2/2000,""),"")</f>
        <v/>
      </c>
      <c r="I31" s="27" t="str">
        <f aca="false">IFERROR(IF(OR(B31="",B31=0),"Ikke med",IF(OR(NOT(ISNUMBER(B31)),B31&lt;0,NOT(ISNUMBER(C31)),C31&lt;=0),"FEIL: lengde eller diameter",IF(OR(NOT(ISNUMBER(IF(D31="",Trykkberegning!$E$15,D31))),IF(D31="",Trykkberegning!$E$15,D31)&lt;0,IF(D31="",Trykkberegning!$E$15,D31)&gt;=C31),"FEIL: ruhet",IF(Beregning!$B$3&lt;&gt;"OK","Venter på inndata",IF(AND(F31&gt;=2300,F31&lt;4000),"FEIL: overgangsområde",IF(AND(ABS(C31-Trykkberegning!$E$12)&gt;0.000001,COUNTIFS(Reduksjoner!$B$7:$B$31,1,Reduksjoner!$D$7:$D$31,C31)=0),"FEIL: diameter mangler i reduksjonskjeden","OK")))))),"FEIL: kontroller tall")</f>
        <v>Ikke med</v>
      </c>
      <c r="J31" s="16"/>
      <c r="L31" s="27" t="str">
        <f aca="false">IFERROR(IF(F31=0,0,IF(F31&lt;2300,64/F31,(-1.8*LOG10(((IF(D31="",Trykkberegning!$E$15,D31)/C31)/3.7)^1.11+6.9/F31))^(-2))),"")</f>
        <v/>
      </c>
      <c r="M31" s="27" t="str">
        <f aca="false">IFERROR(IF(F31=0,0,IF(F31&lt;2300,L31,(-2*LOG10((IF(D31="",Trykkberegning!$E$15,D31)/C31)/3.7+2.51/(F31*SQRT(L31))))^(-2))),"")</f>
        <v/>
      </c>
      <c r="N31" s="27" t="str">
        <f aca="false">IFERROR(IF(F31=0,0,IF(F31&lt;2300,L31,(-2*LOG10((IF(D31="",Trykkberegning!$E$15,D31)/C31)/3.7+2.51/(F31*SQRT(M31))))^(-2))),"")</f>
        <v/>
      </c>
      <c r="O31" s="27" t="str">
        <f aca="false">IFERROR(IF(F31=0,0,IF(F31&lt;2300,L31,(-2*LOG10((IF(D31="",Trykkberegning!$E$15,D31)/C31)/3.7+2.51/(F31*SQRT(N31))))^(-2))),"")</f>
        <v/>
      </c>
      <c r="P31" s="27" t="str">
        <f aca="false">IFERROR(IF(F31=0,0,IF(F31&lt;2300,L31,(-2*LOG10((IF(D31="",Trykkberegning!$E$15,D31)/C31)/3.7+2.51/(F31*SQRT(O31))))^(-2))),"")</f>
        <v/>
      </c>
      <c r="Q31" s="27" t="str">
        <f aca="false">IFERROR(IF(F31=0,0,IF(F31&lt;2300,L31,(-2*LOG10((IF(D31="",Trykkberegning!$E$15,D31)/C31)/3.7+2.51/(F31*SQRT(P31))))^(-2))),"")</f>
        <v/>
      </c>
      <c r="R31" s="27" t="str">
        <f aca="false">IFERROR(IF(F31=0,0,IF(F31&lt;2300,L31,(-2*LOG10((IF(D31="",Trykkberegning!$E$15,D31)/C31)/3.7+2.51/(F31*SQRT(Q31))))^(-2))),"")</f>
        <v/>
      </c>
    </row>
    <row r="32" customFormat="false" ht="22.5" hidden="false" customHeight="true" outlineLevel="0" collapsed="false"/>
    <row r="33" customFormat="false" ht="22.5" hidden="false" customHeight="true" outlineLevel="0" collapsed="false">
      <c r="A33" s="24" t="s">
        <v>140</v>
      </c>
      <c r="B33" s="24"/>
      <c r="C33" s="24"/>
      <c r="D33" s="24"/>
      <c r="E33" s="24"/>
      <c r="F33" s="24"/>
      <c r="G33" s="24"/>
      <c r="H33" s="39" t="n">
        <f aca="false">SUM(H7:H31)</f>
        <v>41.3427391377765</v>
      </c>
    </row>
    <row r="34" customFormat="false" ht="22.5" hidden="false" customHeight="true" outlineLevel="0" collapsed="false"/>
    <row r="35" customFormat="false" ht="22.5" hidden="false" customHeight="true" outlineLevel="0" collapsed="false">
      <c r="A35" s="26" t="s">
        <v>141</v>
      </c>
      <c r="B35" s="26"/>
      <c r="C35" s="26"/>
      <c r="D35" s="26"/>
      <c r="E35" s="26"/>
      <c r="F35" s="26"/>
      <c r="G35" s="26"/>
      <c r="H35" s="26"/>
      <c r="I35" s="26"/>
      <c r="J35" s="26"/>
    </row>
    <row r="36" customFormat="false" ht="22.5" hidden="false" customHeight="true" outlineLevel="0" collapsed="false">
      <c r="A36" s="26"/>
      <c r="B36" s="26"/>
      <c r="C36" s="26"/>
      <c r="D36" s="26"/>
      <c r="E36" s="26"/>
      <c r="F36" s="26"/>
      <c r="G36" s="26"/>
      <c r="H36" s="26"/>
      <c r="I36" s="26"/>
      <c r="J36" s="26"/>
    </row>
    <row r="37" customFormat="false" ht="22.5" hidden="false" customHeight="true" outlineLevel="0" collapsed="false">
      <c r="A37" s="26"/>
      <c r="B37" s="26"/>
      <c r="C37" s="26"/>
      <c r="D37" s="26"/>
      <c r="E37" s="26"/>
      <c r="F37" s="26"/>
      <c r="G37" s="26"/>
      <c r="H37" s="26"/>
      <c r="I37" s="26"/>
      <c r="J37" s="26"/>
    </row>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5">
    <mergeCell ref="A1:J2"/>
    <mergeCell ref="A3:J3"/>
    <mergeCell ref="A4:J5"/>
    <mergeCell ref="A33:G33"/>
    <mergeCell ref="A35:J37"/>
  </mergeCells>
  <dataValidations xmlns="http://schemas.openxmlformats.org/spreadsheetml/2006/main" count="3">
    <dataValidation sqref="B7:B31" showDropDown="0" showInputMessage="0" showErrorMessage="1" allowBlank="1" errorTitle="Ugyldig tall" error="Oppgi et tall mellom 0 og 1000000000.0." type="decimal" operator="between">
      <formula1>0</formula1>
      <formula2>1000000000.0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D7:D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T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11"/>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5"/>
    <col collapsed="false" customWidth="true" hidden="false" outlineLevel="0" max="8" min="8" style="0" width="18"/>
    <col collapsed="false" customWidth="true" hidden="false" outlineLevel="0" max="9" min="9" style="0" width="19"/>
    <col collapsed="false" customWidth="true" hidden="false" outlineLevel="0" max="10" min="10" style="0" width="43"/>
    <col collapsed="false" customWidth="true" hidden="false" outlineLevel="0" max="11" min="11" style="0" width="38"/>
    <col collapsed="false" customWidth="true" hidden="false" outlineLevel="0" max="12" min="12" style="0" width="21"/>
    <col collapsed="false" customWidth="true" hidden="true" outlineLevel="0" max="20" min="13" style="0" width="13"/>
  </cols>
  <sheetData>
    <row r="1" customFormat="false" ht="22.5" hidden="false" customHeight="true" outlineLevel="0" collapsed="false">
      <c r="A1" s="1" t="s">
        <v>142</v>
      </c>
      <c r="B1" s="1"/>
      <c r="C1" s="1"/>
      <c r="D1" s="1"/>
      <c r="E1" s="1"/>
      <c r="F1" s="1"/>
      <c r="G1" s="1"/>
      <c r="H1" s="1"/>
      <c r="I1" s="1"/>
      <c r="J1" s="1"/>
      <c r="K1" s="1"/>
    </row>
    <row r="2" customFormat="false" ht="22.5" hidden="false" customHeight="true" outlineLevel="0" collapsed="false">
      <c r="A2" s="1"/>
      <c r="B2" s="1"/>
      <c r="C2" s="1"/>
      <c r="D2" s="1"/>
      <c r="E2" s="1"/>
      <c r="F2" s="1"/>
      <c r="G2" s="1"/>
      <c r="H2" s="1"/>
      <c r="I2" s="1"/>
      <c r="J2" s="1"/>
      <c r="K2" s="1"/>
    </row>
    <row r="3" customFormat="false" ht="22.5" hidden="false" customHeight="true" outlineLevel="0" collapsed="false">
      <c r="A3" s="2" t="s">
        <v>143</v>
      </c>
      <c r="B3" s="2"/>
      <c r="C3" s="2"/>
      <c r="D3" s="2"/>
      <c r="E3" s="2"/>
      <c r="F3" s="2"/>
      <c r="G3" s="2"/>
      <c r="H3" s="2"/>
      <c r="I3" s="2"/>
      <c r="J3" s="2"/>
      <c r="K3" s="2"/>
    </row>
    <row r="4" customFormat="false" ht="22.5" hidden="false" customHeight="true" outlineLevel="0" collapsed="false">
      <c r="A4" s="36" t="s">
        <v>144</v>
      </c>
      <c r="B4" s="36"/>
      <c r="C4" s="36"/>
      <c r="D4" s="36"/>
      <c r="E4" s="36"/>
      <c r="F4" s="36"/>
      <c r="G4" s="36"/>
      <c r="H4" s="36"/>
      <c r="I4" s="36"/>
      <c r="J4" s="36"/>
      <c r="K4" s="36"/>
    </row>
    <row r="5" customFormat="false" ht="22.5" hidden="false" customHeight="true" outlineLevel="0" collapsed="false">
      <c r="A5" s="37" t="s">
        <v>145</v>
      </c>
      <c r="B5" s="37"/>
      <c r="C5" s="37"/>
      <c r="D5" s="37"/>
      <c r="E5" s="37"/>
      <c r="F5" s="37"/>
      <c r="G5" s="37"/>
      <c r="H5" s="37"/>
      <c r="I5" s="37"/>
      <c r="J5" s="37"/>
      <c r="K5" s="37"/>
    </row>
    <row r="6" customFormat="false" ht="36" hidden="false" customHeight="true" outlineLevel="0" collapsed="false">
      <c r="A6" s="27" t="s">
        <v>146</v>
      </c>
      <c r="B6" s="27" t="s">
        <v>147</v>
      </c>
      <c r="C6" s="27" t="s">
        <v>148</v>
      </c>
      <c r="D6" s="27" t="s">
        <v>149</v>
      </c>
      <c r="E6" s="27" t="s">
        <v>150</v>
      </c>
      <c r="F6" s="27" t="s">
        <v>119</v>
      </c>
      <c r="G6" s="27" t="s">
        <v>151</v>
      </c>
      <c r="H6" s="27" t="s">
        <v>152</v>
      </c>
      <c r="I6" s="27" t="s">
        <v>153</v>
      </c>
      <c r="J6" s="27" t="s">
        <v>122</v>
      </c>
      <c r="K6" s="27" t="s">
        <v>123</v>
      </c>
      <c r="L6" s="27" t="s">
        <v>154</v>
      </c>
    </row>
    <row r="7" customFormat="false" ht="22.5" hidden="false" customHeight="true" outlineLevel="0" collapsed="false">
      <c r="A7" s="16" t="s">
        <v>155</v>
      </c>
      <c r="B7" s="18" t="n">
        <v>90</v>
      </c>
      <c r="C7" s="18" t="n">
        <v>4</v>
      </c>
      <c r="D7" s="16"/>
      <c r="E7" s="41" t="n">
        <f aca="false">IFERROR(IF(AND(LEFT(A7,4)="Bend",B7&gt;0,B7&lt;=180,(IF(D7="",IFERROR(VLOOKUP(A7,Benddata,2,FALSE()),0),D7))&gt;=0.5,AND(Beregning!$B$3="OK",OR(M7=0,M7&gt;=4000))),T7*RADIANS(B7)*(IF(D7="",IFERROR(VLOOKUP(A7,Benddata,2,FALSE()),0),D7))+(0.1+2.4*T7)*SIN(RADIANS(B7)/2)+6.6*T7*(SQRT(SIN(RADIANS(B7)/2))+SIN(RADIANS(B7)/2))/((IF(D7="",IFERROR(VLOOKUP(A7,Benddata,2,FALSE()),0),D7))^(4*RADIANS(B7)/PI())),""),"")</f>
        <v>0.238536804751557</v>
      </c>
      <c r="F7" s="16"/>
      <c r="G7" s="41" t="n">
        <f aca="false">IF(F7&lt;&gt;"",F7,E7)</f>
        <v>0.238536804751557</v>
      </c>
      <c r="H7" s="14" t="n">
        <f aca="false">IFERROR(IF(J7="OK",G7*Beregning!$B$25*(Trykkberegning!$E$12/(IF(L7="",Trykkberegning!$E$12,L7)))^4/1000,""),"")</f>
        <v>0.416626998986367</v>
      </c>
      <c r="I7" s="14" t="n">
        <f aca="false">IF(J7="OK",C7*H7,"")</f>
        <v>1.66650799594547</v>
      </c>
      <c r="J7" s="27" t="str">
        <f aca="false">IFERROR(IF(OR(C7="",C7=0),"Ikke med",IF(OR(NOT(ISNUMBER(IF(L7="",Trykkberegning!$E$12,L7))),IF(L7="",Trykkberegning!$E$12,L7)&lt;=0,Trykkberegning!$E$15&gt;=IF(L7="",Trykkberegning!$E$12,L7)),"FEIL: lokal diameter / ruhet",IF(AND(ABS((IF(L7="",Trykkberegning!$E$12,L7))-Trykkberegning!$E$12)&gt;0.000001,COUNTIFS(Reduksjoner!$B$7:$B$31,1,Reduksjoner!$D$7:$D$31,IF(L7="",Trykkberegning!$E$12,L7))=0),"FEIL: lokal ID mangler i reduksjonskjeden",IFERROR(IF(OR(C7="",C7=0),"Ikke med",IF(OR(NOT(ISNUMBER(C7)),C7&lt;0,C7&lt;&gt;INT(C7)),"FEIL: antall",IF(COUNTIF(Bendtyper,A7)=0,"FEIL: velg type",IF(Beregning!$B$3&lt;&gt;"OK","Venter på inndata",IF(F7&lt;&gt;"",IF(OR(NOT(ISNUMBER(F7)),F7&lt;0),"FEIL: eget K","OK"),IF(LEFT(A7,4)&lt;&gt;"Bend","FEIL: oppgi eget K",IF(OR(NOT(ISNUMBER(B7)),B7&lt;=0,B7&gt;180,(IF(D7="",IFERROR(VLOOKUP(A7,Benddata,2,FALSE()),0),D7))&lt;0.5,NOT(ISNUMBER(IF(D7="",IFERROR(VLOOKUP(A7,Benddata,2,FALSE()),0),D7)))),"FEIL: vinkel eller R/Di",IF(AND(M7&gt;0,M7&lt;4000),"FEIL: eget K ved Re&lt;4000","OK")))))))),"FEIL: kontroller tall")))),"FEIL: lokal diameter")</f>
        <v>OK</v>
      </c>
      <c r="K7" s="16"/>
      <c r="L7" s="16"/>
      <c r="M7" s="27" t="n">
        <f aca="false">IFERROR(Beregning!$B$14*Trykkberegning!$E$12/(IF(L7="",Trykkberegning!$E$12,L7)),"")</f>
        <v>153746.774760133</v>
      </c>
      <c r="N7" s="27" t="n">
        <f aca="false">IFERROR(IF(M7=0,0,IF(M7&lt;2300,64/M7,(-1.8*LOG10(((Trykkberegning!$E$15/(IF(L7="",Trykkberegning!$E$12,L7)))/3.7)^1.11+6.9/M7))^(-2))),"")</f>
        <v>0.0193209862491592</v>
      </c>
      <c r="O7" s="27" t="n">
        <f aca="false">IFERROR(IF(M7=0,0,IF(M7&lt;2300,N7,(-2*LOG10((Trykkberegning!$E$15/(IF(L7="",Trykkberegning!$E$12,L7)))/3.7+2.51/(M7*SQRT(N7))))^(-2))),"")</f>
        <v>0.0195393516631449</v>
      </c>
      <c r="P7" s="27" t="n">
        <f aca="false">IFERROR(IF(M7=0,0,IF(M7&lt;2300,N7,(-2*LOG10((Trykkberegning!$E$15/(IF(L7="",Trykkberegning!$E$12,L7)))/3.7+2.51/(M7*SQRT(O7))))^(-2))),"")</f>
        <v>0.019527552936431</v>
      </c>
      <c r="Q7" s="27" t="n">
        <f aca="false">IFERROR(IF(M7=0,0,IF(M7&lt;2300,N7,(-2*LOG10((Trykkberegning!$E$15/(IF(L7="",Trykkberegning!$E$12,L7)))/3.7+2.51/(M7*SQRT(P7))))^(-2))),"")</f>
        <v>0.0195281858572709</v>
      </c>
      <c r="R7" s="27" t="n">
        <f aca="false">IFERROR(IF(M7=0,0,IF(M7&lt;2300,N7,(-2*LOG10((Trykkberegning!$E$15/(IF(L7="",Trykkberegning!$E$12,L7)))/3.7+2.51/(M7*SQRT(Q7))))^(-2))),"")</f>
        <v>0.0195281518922101</v>
      </c>
      <c r="S7" s="27" t="n">
        <f aca="false">IFERROR(IF(M7=0,0,IF(M7&lt;2300,N7,(-2*LOG10((Trykkberegning!$E$15/(IF(L7="",Trykkberegning!$E$12,L7)))/3.7+2.51/(M7*SQRT(R7))))^(-2))),"")</f>
        <v>0.0195281537148729</v>
      </c>
      <c r="T7" s="27" t="n">
        <f aca="false">IFERROR(IF(M7=0,0,IF(M7&lt;2300,N7,(-2*LOG10((Trykkberegning!$E$15/(IF(L7="",Trykkberegning!$E$12,L7)))/3.7+2.51/(M7*SQRT(S7))))^(-2))),"")</f>
        <v>0.0195281536170635</v>
      </c>
    </row>
    <row r="8" customFormat="false" ht="22.5" hidden="false" customHeight="true" outlineLevel="0" collapsed="false">
      <c r="A8" s="16" t="s">
        <v>155</v>
      </c>
      <c r="B8" s="18" t="n">
        <v>45</v>
      </c>
      <c r="C8" s="18" t="n">
        <v>2</v>
      </c>
      <c r="D8" s="16"/>
      <c r="E8" s="41" t="n">
        <f aca="false">IFERROR(IF(AND(LEFT(A8,4)="Bend",B8&gt;0,B8&lt;=180,(IF(D8="",IFERROR(VLOOKUP(A8,Benddata,2,FALSE()),0),D8))&gt;=0.5,AND(Beregning!$B$3="OK",OR(M8=0,M8&gt;=4000))),T8*RADIANS(B8)*(IF(D8="",IFERROR(VLOOKUP(A8,Benddata,2,FALSE()),0),D8))+(0.1+2.4*T8)*SIN(RADIANS(B8)/2)+6.6*T8*(SQRT(SIN(RADIANS(B8)/2))+SIN(RADIANS(B8)/2))/((IF(D8="",IFERROR(VLOOKUP(A8,Benddata,2,FALSE()),0),D8))^(4*RADIANS(B8)/PI())),""),"")</f>
        <v>0.165245216109031</v>
      </c>
      <c r="F8" s="16"/>
      <c r="G8" s="41" t="n">
        <f aca="false">IF(F8&lt;&gt;"",F8,E8)</f>
        <v>0.165245216109031</v>
      </c>
      <c r="H8" s="14" t="n">
        <f aca="false">IFERROR(IF(J8="OK",G8*Beregning!$B$25*(Trykkberegning!$E$12/(IF(L8="",Trykkberegning!$E$12,L8)))^4/1000,""),"")</f>
        <v>0.288616335563243</v>
      </c>
      <c r="I8" s="14" t="n">
        <f aca="false">IF(J8="OK",C8*H8,"")</f>
        <v>0.577232671126487</v>
      </c>
      <c r="J8" s="27" t="str">
        <f aca="false">IFERROR(IF(OR(C8="",C8=0),"Ikke med",IF(OR(NOT(ISNUMBER(IF(L8="",Trykkberegning!$E$12,L8))),IF(L8="",Trykkberegning!$E$12,L8)&lt;=0,Trykkberegning!$E$15&gt;=IF(L8="",Trykkberegning!$E$12,L8)),"FEIL: lokal diameter / ruhet",IF(AND(ABS((IF(L8="",Trykkberegning!$E$12,L8))-Trykkberegning!$E$12)&gt;0.000001,COUNTIFS(Reduksjoner!$B$7:$B$31,1,Reduksjoner!$D$7:$D$31,IF(L8="",Trykkberegning!$E$12,L8))=0),"FEIL: lokal ID mangler i reduksjonskjeden",IFERROR(IF(OR(C8="",C8=0),"Ikke med",IF(OR(NOT(ISNUMBER(C8)),C8&lt;0,C8&lt;&gt;INT(C8)),"FEIL: antall",IF(COUNTIF(Bendtyper,A8)=0,"FEIL: velg type",IF(Beregning!$B$3&lt;&gt;"OK","Venter på inndata",IF(F8&lt;&gt;"",IF(OR(NOT(ISNUMBER(F8)),F8&lt;0),"FEIL: eget K","OK"),IF(LEFT(A8,4)&lt;&gt;"Bend","FEIL: oppgi eget K",IF(OR(NOT(ISNUMBER(B8)),B8&lt;=0,B8&gt;180,(IF(D8="",IFERROR(VLOOKUP(A8,Benddata,2,FALSE()),0),D8))&lt;0.5,NOT(ISNUMBER(IF(D8="",IFERROR(VLOOKUP(A8,Benddata,2,FALSE()),0),D8)))),"FEIL: vinkel eller R/Di",IF(AND(M8&gt;0,M8&lt;4000),"FEIL: eget K ved Re&lt;4000","OK")))))))),"FEIL: kontroller tall")))),"FEIL: lokal diameter")</f>
        <v>OK</v>
      </c>
      <c r="K8" s="16"/>
      <c r="L8" s="16"/>
      <c r="M8" s="27" t="n">
        <f aca="false">IFERROR(Beregning!$B$14*Trykkberegning!$E$12/(IF(L8="",Trykkberegning!$E$12,L8)),"")</f>
        <v>153746.774760133</v>
      </c>
      <c r="N8" s="27" t="n">
        <f aca="false">IFERROR(IF(M8=0,0,IF(M8&lt;2300,64/M8,(-1.8*LOG10(((Trykkberegning!$E$15/(IF(L8="",Trykkberegning!$E$12,L8)))/3.7)^1.11+6.9/M8))^(-2))),"")</f>
        <v>0.0193209862491592</v>
      </c>
      <c r="O8" s="27" t="n">
        <f aca="false">IFERROR(IF(M8=0,0,IF(M8&lt;2300,N8,(-2*LOG10((Trykkberegning!$E$15/(IF(L8="",Trykkberegning!$E$12,L8)))/3.7+2.51/(M8*SQRT(N8))))^(-2))),"")</f>
        <v>0.0195393516631449</v>
      </c>
      <c r="P8" s="27" t="n">
        <f aca="false">IFERROR(IF(M8=0,0,IF(M8&lt;2300,N8,(-2*LOG10((Trykkberegning!$E$15/(IF(L8="",Trykkberegning!$E$12,L8)))/3.7+2.51/(M8*SQRT(O8))))^(-2))),"")</f>
        <v>0.019527552936431</v>
      </c>
      <c r="Q8" s="27" t="n">
        <f aca="false">IFERROR(IF(M8=0,0,IF(M8&lt;2300,N8,(-2*LOG10((Trykkberegning!$E$15/(IF(L8="",Trykkberegning!$E$12,L8)))/3.7+2.51/(M8*SQRT(P8))))^(-2))),"")</f>
        <v>0.0195281858572709</v>
      </c>
      <c r="R8" s="27" t="n">
        <f aca="false">IFERROR(IF(M8=0,0,IF(M8&lt;2300,N8,(-2*LOG10((Trykkberegning!$E$15/(IF(L8="",Trykkberegning!$E$12,L8)))/3.7+2.51/(M8*SQRT(Q8))))^(-2))),"")</f>
        <v>0.0195281518922101</v>
      </c>
      <c r="S8" s="27" t="n">
        <f aca="false">IFERROR(IF(M8=0,0,IF(M8&lt;2300,N8,(-2*LOG10((Trykkberegning!$E$15/(IF(L8="",Trykkberegning!$E$12,L8)))/3.7+2.51/(M8*SQRT(R8))))^(-2))),"")</f>
        <v>0.0195281537148729</v>
      </c>
      <c r="T8" s="27" t="n">
        <f aca="false">IFERROR(IF(M8=0,0,IF(M8&lt;2300,N8,(-2*LOG10((Trykkberegning!$E$15/(IF(L8="",Trykkberegning!$E$12,L8)))/3.7+2.51/(M8*SQRT(S8))))^(-2))),"")</f>
        <v>0.0195281536170635</v>
      </c>
    </row>
    <row r="9" customFormat="false" ht="22.5" hidden="false" customHeight="true" outlineLevel="0" collapsed="false">
      <c r="A9" s="16" t="s">
        <v>156</v>
      </c>
      <c r="B9" s="18" t="n">
        <v>90</v>
      </c>
      <c r="C9" s="18" t="n">
        <v>0</v>
      </c>
      <c r="D9" s="16"/>
      <c r="E9" s="41" t="str">
        <f aca="false">IFERROR(IF(AND(LEFT(A9,4)="Bend",B9&gt;0,B9&lt;=180,(IF(D9="",IFERROR(VLOOKUP(A9,Benddata,2,FALSE()),0),D9))&gt;=0.5,AND(Beregning!$B$3="OK",OR(M9=0,M9&gt;=4000))),T9*RADIANS(B9)*(IF(D9="",IFERROR(VLOOKUP(A9,Benddata,2,FALSE()),0),D9))+(0.1+2.4*T9)*SIN(RADIANS(B9)/2)+6.6*T9*(SQRT(SIN(RADIANS(B9)/2))+SIN(RADIANS(B9)/2))/((IF(D9="",IFERROR(VLOOKUP(A9,Benddata,2,FALSE()),0),D9))^(4*RADIANS(B9)/PI())),""),"")</f>
        <v/>
      </c>
      <c r="F9" s="16"/>
      <c r="G9" s="41" t="str">
        <f aca="false">IF(F9&lt;&gt;"",F9,E9)</f>
        <v/>
      </c>
      <c r="H9" s="14" t="str">
        <f aca="false">IFERROR(IF(J9="OK",G9*Beregning!$B$25*(Trykkberegning!$E$12/(IF(L9="",Trykkberegning!$E$12,L9)))^4/1000,""),"")</f>
        <v/>
      </c>
      <c r="I9" s="14" t="str">
        <f aca="false">IF(J9="OK",C9*H9,"")</f>
        <v/>
      </c>
      <c r="J9" s="27" t="str">
        <f aca="false">IFERROR(IF(OR(C9="",C9=0),"Ikke med",IF(OR(NOT(ISNUMBER(IF(L9="",Trykkberegning!$E$12,L9))),IF(L9="",Trykkberegning!$E$12,L9)&lt;=0,Trykkberegning!$E$15&gt;=IF(L9="",Trykkberegning!$E$12,L9)),"FEIL: lokal diameter / ruhet",IF(AND(ABS((IF(L9="",Trykkberegning!$E$12,L9))-Trykkberegning!$E$12)&gt;0.000001,COUNTIFS(Reduksjoner!$B$7:$B$31,1,Reduksjoner!$D$7:$D$31,IF(L9="",Trykkberegning!$E$12,L9))=0),"FEIL: lokal ID mangler i reduksjonskjeden",IFERROR(IF(OR(C9="",C9=0),"Ikke med",IF(OR(NOT(ISNUMBER(C9)),C9&lt;0,C9&lt;&gt;INT(C9)),"FEIL: antall",IF(COUNTIF(Bendtyper,A9)=0,"FEIL: velg type",IF(Beregning!$B$3&lt;&gt;"OK","Venter på inndata",IF(F9&lt;&gt;"",IF(OR(NOT(ISNUMBER(F9)),F9&lt;0),"FEIL: eget K","OK"),IF(LEFT(A9,4)&lt;&gt;"Bend","FEIL: oppgi eget K",IF(OR(NOT(ISNUMBER(B9)),B9&lt;=0,B9&gt;180,(IF(D9="",IFERROR(VLOOKUP(A9,Benddata,2,FALSE()),0),D9))&lt;0.5,NOT(ISNUMBER(IF(D9="",IFERROR(VLOOKUP(A9,Benddata,2,FALSE()),0),D9)))),"FEIL: vinkel eller R/Di",IF(AND(M9&gt;0,M9&lt;4000),"FEIL: eget K ved Re&lt;4000","OK")))))))),"FEIL: kontroller tall")))),"FEIL: lokal diameter")</f>
        <v>Ikke med</v>
      </c>
      <c r="K9" s="16"/>
      <c r="L9" s="16"/>
      <c r="M9" s="27" t="n">
        <f aca="false">IFERROR(Beregning!$B$14*Trykkberegning!$E$12/(IF(L9="",Trykkberegning!$E$12,L9)),"")</f>
        <v>153746.774760133</v>
      </c>
      <c r="N9" s="27" t="n">
        <f aca="false">IFERROR(IF(M9=0,0,IF(M9&lt;2300,64/M9,(-1.8*LOG10(((Trykkberegning!$E$15/(IF(L9="",Trykkberegning!$E$12,L9)))/3.7)^1.11+6.9/M9))^(-2))),"")</f>
        <v>0.0193209862491592</v>
      </c>
      <c r="O9" s="27" t="n">
        <f aca="false">IFERROR(IF(M9=0,0,IF(M9&lt;2300,N9,(-2*LOG10((Trykkberegning!$E$15/(IF(L9="",Trykkberegning!$E$12,L9)))/3.7+2.51/(M9*SQRT(N9))))^(-2))),"")</f>
        <v>0.0195393516631449</v>
      </c>
      <c r="P9" s="27" t="n">
        <f aca="false">IFERROR(IF(M9=0,0,IF(M9&lt;2300,N9,(-2*LOG10((Trykkberegning!$E$15/(IF(L9="",Trykkberegning!$E$12,L9)))/3.7+2.51/(M9*SQRT(O9))))^(-2))),"")</f>
        <v>0.019527552936431</v>
      </c>
      <c r="Q9" s="27" t="n">
        <f aca="false">IFERROR(IF(M9=0,0,IF(M9&lt;2300,N9,(-2*LOG10((Trykkberegning!$E$15/(IF(L9="",Trykkberegning!$E$12,L9)))/3.7+2.51/(M9*SQRT(P9))))^(-2))),"")</f>
        <v>0.0195281858572709</v>
      </c>
      <c r="R9" s="27" t="n">
        <f aca="false">IFERROR(IF(M9=0,0,IF(M9&lt;2300,N9,(-2*LOG10((Trykkberegning!$E$15/(IF(L9="",Trykkberegning!$E$12,L9)))/3.7+2.51/(M9*SQRT(Q9))))^(-2))),"")</f>
        <v>0.0195281518922101</v>
      </c>
      <c r="S9" s="27" t="n">
        <f aca="false">IFERROR(IF(M9=0,0,IF(M9&lt;2300,N9,(-2*LOG10((Trykkberegning!$E$15/(IF(L9="",Trykkberegning!$E$12,L9)))/3.7+2.51/(M9*SQRT(R9))))^(-2))),"")</f>
        <v>0.0195281537148729</v>
      </c>
      <c r="T9" s="27" t="n">
        <f aca="false">IFERROR(IF(M9=0,0,IF(M9&lt;2300,N9,(-2*LOG10((Trykkberegning!$E$15/(IF(L9="",Trykkberegning!$E$12,L9)))/3.7+2.51/(M9*SQRT(S9))))^(-2))),"")</f>
        <v>0.0195281536170635</v>
      </c>
    </row>
    <row r="10" customFormat="false" ht="22.5" hidden="false" customHeight="true" outlineLevel="0" collapsed="false">
      <c r="A10" s="16" t="s">
        <v>157</v>
      </c>
      <c r="B10" s="18" t="n">
        <v>45</v>
      </c>
      <c r="C10" s="18" t="n">
        <v>0</v>
      </c>
      <c r="D10" s="16"/>
      <c r="E10" s="41" t="str">
        <f aca="false">IFERROR(IF(AND(LEFT(A10,4)="Bend",B10&gt;0,B10&lt;=180,(IF(D10="",IFERROR(VLOOKUP(A10,Benddata,2,FALSE()),0),D10))&gt;=0.5,AND(Beregning!$B$3="OK",OR(M10=0,M10&gt;=4000))),T10*RADIANS(B10)*(IF(D10="",IFERROR(VLOOKUP(A10,Benddata,2,FALSE()),0),D10))+(0.1+2.4*T10)*SIN(RADIANS(B10)/2)+6.6*T10*(SQRT(SIN(RADIANS(B10)/2))+SIN(RADIANS(B10)/2))/((IF(D10="",IFERROR(VLOOKUP(A10,Benddata,2,FALSE()),0),D10))^(4*RADIANS(B10)/PI())),""),"")</f>
        <v/>
      </c>
      <c r="F10" s="16"/>
      <c r="G10" s="41" t="str">
        <f aca="false">IF(F10&lt;&gt;"",F10,E10)</f>
        <v/>
      </c>
      <c r="H10" s="14" t="str">
        <f aca="false">IFERROR(IF(J10="OK",G10*Beregning!$B$25*(Trykkberegning!$E$12/(IF(L10="",Trykkberegning!$E$12,L10)))^4/1000,""),"")</f>
        <v/>
      </c>
      <c r="I10" s="14" t="str">
        <f aca="false">IF(J10="OK",C10*H10,"")</f>
        <v/>
      </c>
      <c r="J10" s="27" t="str">
        <f aca="false">IFERROR(IF(OR(C10="",C10=0),"Ikke med",IF(OR(NOT(ISNUMBER(IF(L10="",Trykkberegning!$E$12,L10))),IF(L10="",Trykkberegning!$E$12,L10)&lt;=0,Trykkberegning!$E$15&gt;=IF(L10="",Trykkberegning!$E$12,L10)),"FEIL: lokal diameter / ruhet",IF(AND(ABS((IF(L10="",Trykkberegning!$E$12,L10))-Trykkberegning!$E$12)&gt;0.000001,COUNTIFS(Reduksjoner!$B$7:$B$31,1,Reduksjoner!$D$7:$D$31,IF(L10="",Trykkberegning!$E$12,L10))=0),"FEIL: lokal ID mangler i reduksjonskjeden",IFERROR(IF(OR(C10="",C10=0),"Ikke med",IF(OR(NOT(ISNUMBER(C10)),C10&lt;0,C10&lt;&gt;INT(C10)),"FEIL: antall",IF(COUNTIF(Bendtyper,A10)=0,"FEIL: velg type",IF(Beregning!$B$3&lt;&gt;"OK","Venter på inndata",IF(F10&lt;&gt;"",IF(OR(NOT(ISNUMBER(F10)),F10&lt;0),"FEIL: eget K","OK"),IF(LEFT(A10,4)&lt;&gt;"Bend","FEIL: oppgi eget K",IF(OR(NOT(ISNUMBER(B10)),B10&lt;=0,B10&gt;180,(IF(D10="",IFERROR(VLOOKUP(A10,Benddata,2,FALSE()),0),D10))&lt;0.5,NOT(ISNUMBER(IF(D10="",IFERROR(VLOOKUP(A10,Benddata,2,FALSE()),0),D10)))),"FEIL: vinkel eller R/Di",IF(AND(M10&gt;0,M10&lt;4000),"FEIL: eget K ved Re&lt;4000","OK")))))))),"FEIL: kontroller tall")))),"FEIL: lokal diameter")</f>
        <v>Ikke med</v>
      </c>
      <c r="K10" s="16"/>
      <c r="L10" s="16"/>
      <c r="M10" s="27" t="n">
        <f aca="false">IFERROR(Beregning!$B$14*Trykkberegning!$E$12/(IF(L10="",Trykkberegning!$E$12,L10)),"")</f>
        <v>153746.774760133</v>
      </c>
      <c r="N10" s="27" t="n">
        <f aca="false">IFERROR(IF(M10=0,0,IF(M10&lt;2300,64/M10,(-1.8*LOG10(((Trykkberegning!$E$15/(IF(L10="",Trykkberegning!$E$12,L10)))/3.7)^1.11+6.9/M10))^(-2))),"")</f>
        <v>0.0193209862491592</v>
      </c>
      <c r="O10" s="27" t="n">
        <f aca="false">IFERROR(IF(M10=0,0,IF(M10&lt;2300,N10,(-2*LOG10((Trykkberegning!$E$15/(IF(L10="",Trykkberegning!$E$12,L10)))/3.7+2.51/(M10*SQRT(N10))))^(-2))),"")</f>
        <v>0.0195393516631449</v>
      </c>
      <c r="P10" s="27" t="n">
        <f aca="false">IFERROR(IF(M10=0,0,IF(M10&lt;2300,N10,(-2*LOG10((Trykkberegning!$E$15/(IF(L10="",Trykkberegning!$E$12,L10)))/3.7+2.51/(M10*SQRT(O10))))^(-2))),"")</f>
        <v>0.019527552936431</v>
      </c>
      <c r="Q10" s="27" t="n">
        <f aca="false">IFERROR(IF(M10=0,0,IF(M10&lt;2300,N10,(-2*LOG10((Trykkberegning!$E$15/(IF(L10="",Trykkberegning!$E$12,L10)))/3.7+2.51/(M10*SQRT(P10))))^(-2))),"")</f>
        <v>0.0195281858572709</v>
      </c>
      <c r="R10" s="27" t="n">
        <f aca="false">IFERROR(IF(M10=0,0,IF(M10&lt;2300,N10,(-2*LOG10((Trykkberegning!$E$15/(IF(L10="",Trykkberegning!$E$12,L10)))/3.7+2.51/(M10*SQRT(Q10))))^(-2))),"")</f>
        <v>0.0195281518922101</v>
      </c>
      <c r="S10" s="27" t="n">
        <f aca="false">IFERROR(IF(M10=0,0,IF(M10&lt;2300,N10,(-2*LOG10((Trykkberegning!$E$15/(IF(L10="",Trykkberegning!$E$12,L10)))/3.7+2.51/(M10*SQRT(R10))))^(-2))),"")</f>
        <v>0.0195281537148729</v>
      </c>
      <c r="T10" s="27" t="n">
        <f aca="false">IFERROR(IF(M10=0,0,IF(M10&lt;2300,N10,(-2*LOG10((Trykkberegning!$E$15/(IF(L10="",Trykkberegning!$E$12,L10)))/3.7+2.51/(M10*SQRT(S10))))^(-2))),"")</f>
        <v>0.0195281536170635</v>
      </c>
    </row>
    <row r="11" customFormat="false" ht="22.5" hidden="false" customHeight="true" outlineLevel="0" collapsed="false">
      <c r="A11" s="16" t="s">
        <v>158</v>
      </c>
      <c r="B11" s="18" t="n">
        <v>90</v>
      </c>
      <c r="C11" s="18" t="n">
        <v>0</v>
      </c>
      <c r="D11" s="16"/>
      <c r="E11" s="41" t="n">
        <f aca="false">IFERROR(IF(AND(LEFT(A11,4)="Bend",B11&gt;0,B11&lt;=180,(IF(D11="",IFERROR(VLOOKUP(A11,Benddata,2,FALSE()),0),D11))&gt;=0.5,AND(Beregning!$B$3="OK",OR(M11=0,M11&gt;=4000))),T11*RADIANS(B11)*(IF(D11="",IFERROR(VLOOKUP(A11,Benddata,2,FALSE()),0),D11))+(0.1+2.4*T11)*SIN(RADIANS(B11)/2)+6.6*T11*(SQRT(SIN(RADIANS(B11)/2))+SIN(RADIANS(B11)/2))/((IF(D11="",IFERROR(VLOOKUP(A11,Benddata,2,FALSE()),0),D11))^(4*RADIANS(B11)/PI())),""),"")</f>
        <v>0.334041457572071</v>
      </c>
      <c r="F11" s="16"/>
      <c r="G11" s="41" t="n">
        <f aca="false">IF(F11&lt;&gt;"",F11,E11)</f>
        <v>0.334041457572071</v>
      </c>
      <c r="H11" s="14" t="str">
        <f aca="false">IFERROR(IF(J11="OK",G11*Beregning!$B$25*(Trykkberegning!$E$12/(IF(L11="",Trykkberegning!$E$12,L11)))^4/1000,""),"")</f>
        <v/>
      </c>
      <c r="I11" s="14" t="str">
        <f aca="false">IF(J11="OK",C11*H11,"")</f>
        <v/>
      </c>
      <c r="J11" s="27" t="str">
        <f aca="false">IFERROR(IF(OR(C11="",C11=0),"Ikke med",IF(OR(NOT(ISNUMBER(IF(L11="",Trykkberegning!$E$12,L11))),IF(L11="",Trykkberegning!$E$12,L11)&lt;=0,Trykkberegning!$E$15&gt;=IF(L11="",Trykkberegning!$E$12,L11)),"FEIL: lokal diameter / ruhet",IF(AND(ABS((IF(L11="",Trykkberegning!$E$12,L11))-Trykkberegning!$E$12)&gt;0.000001,COUNTIFS(Reduksjoner!$B$7:$B$31,1,Reduksjoner!$D$7:$D$31,IF(L11="",Trykkberegning!$E$12,L11))=0),"FEIL: lokal ID mangler i reduksjonskjeden",IFERROR(IF(OR(C11="",C11=0),"Ikke med",IF(OR(NOT(ISNUMBER(C11)),C11&lt;0,C11&lt;&gt;INT(C11)),"FEIL: antall",IF(COUNTIF(Bendtyper,A11)=0,"FEIL: velg type",IF(Beregning!$B$3&lt;&gt;"OK","Venter på inndata",IF(F11&lt;&gt;"",IF(OR(NOT(ISNUMBER(F11)),F11&lt;0),"FEIL: eget K","OK"),IF(LEFT(A11,4)&lt;&gt;"Bend","FEIL: oppgi eget K",IF(OR(NOT(ISNUMBER(B11)),B11&lt;=0,B11&gt;180,(IF(D11="",IFERROR(VLOOKUP(A11,Benddata,2,FALSE()),0),D11))&lt;0.5,NOT(ISNUMBER(IF(D11="",IFERROR(VLOOKUP(A11,Benddata,2,FALSE()),0),D11)))),"FEIL: vinkel eller R/Di",IF(AND(M11&gt;0,M11&lt;4000),"FEIL: eget K ved Re&lt;4000","OK")))))))),"FEIL: kontroller tall")))),"FEIL: lokal diameter")</f>
        <v>Ikke med</v>
      </c>
      <c r="K11" s="16"/>
      <c r="L11" s="16"/>
      <c r="M11" s="27" t="n">
        <f aca="false">IFERROR(Beregning!$B$14*Trykkberegning!$E$12/(IF(L11="",Trykkberegning!$E$12,L11)),"")</f>
        <v>153746.774760133</v>
      </c>
      <c r="N11" s="27" t="n">
        <f aca="false">IFERROR(IF(M11=0,0,IF(M11&lt;2300,64/M11,(-1.8*LOG10(((Trykkberegning!$E$15/(IF(L11="",Trykkberegning!$E$12,L11)))/3.7)^1.11+6.9/M11))^(-2))),"")</f>
        <v>0.0193209862491592</v>
      </c>
      <c r="O11" s="27" t="n">
        <f aca="false">IFERROR(IF(M11=0,0,IF(M11&lt;2300,N11,(-2*LOG10((Trykkberegning!$E$15/(IF(L11="",Trykkberegning!$E$12,L11)))/3.7+2.51/(M11*SQRT(N11))))^(-2))),"")</f>
        <v>0.0195393516631449</v>
      </c>
      <c r="P11" s="27" t="n">
        <f aca="false">IFERROR(IF(M11=0,0,IF(M11&lt;2300,N11,(-2*LOG10((Trykkberegning!$E$15/(IF(L11="",Trykkberegning!$E$12,L11)))/3.7+2.51/(M11*SQRT(O11))))^(-2))),"")</f>
        <v>0.019527552936431</v>
      </c>
      <c r="Q11" s="27" t="n">
        <f aca="false">IFERROR(IF(M11=0,0,IF(M11&lt;2300,N11,(-2*LOG10((Trykkberegning!$E$15/(IF(L11="",Trykkberegning!$E$12,L11)))/3.7+2.51/(M11*SQRT(P11))))^(-2))),"")</f>
        <v>0.0195281858572709</v>
      </c>
      <c r="R11" s="27" t="n">
        <f aca="false">IFERROR(IF(M11=0,0,IF(M11&lt;2300,N11,(-2*LOG10((Trykkberegning!$E$15/(IF(L11="",Trykkberegning!$E$12,L11)))/3.7+2.51/(M11*SQRT(Q11))))^(-2))),"")</f>
        <v>0.0195281518922101</v>
      </c>
      <c r="S11" s="27" t="n">
        <f aca="false">IFERROR(IF(M11=0,0,IF(M11&lt;2300,N11,(-2*LOG10((Trykkberegning!$E$15/(IF(L11="",Trykkberegning!$E$12,L11)))/3.7+2.51/(M11*SQRT(R11))))^(-2))),"")</f>
        <v>0.0195281537148729</v>
      </c>
      <c r="T11" s="27" t="n">
        <f aca="false">IFERROR(IF(M11=0,0,IF(M11&lt;2300,N11,(-2*LOG10((Trykkberegning!$E$15/(IF(L11="",Trykkberegning!$E$12,L11)))/3.7+2.51/(M11*SQRT(S11))))^(-2))),"")</f>
        <v>0.0195281536170635</v>
      </c>
    </row>
    <row r="12" customFormat="false" ht="22.5" hidden="false" customHeight="true" outlineLevel="0" collapsed="false">
      <c r="A12" s="16"/>
      <c r="B12" s="18"/>
      <c r="C12" s="18" t="n">
        <v>0</v>
      </c>
      <c r="D12" s="16"/>
      <c r="E12" s="41" t="str">
        <f aca="false">IFERROR(IF(AND(LEFT(A12,4)="Bend",B12&gt;0,B12&lt;=180,(IF(D12="",IFERROR(VLOOKUP(A12,Benddata,2,FALSE()),0),D12))&gt;=0.5,AND(Beregning!$B$3="OK",OR(M12=0,M12&gt;=4000))),T12*RADIANS(B12)*(IF(D12="",IFERROR(VLOOKUP(A12,Benddata,2,FALSE()),0),D12))+(0.1+2.4*T12)*SIN(RADIANS(B12)/2)+6.6*T12*(SQRT(SIN(RADIANS(B12)/2))+SIN(RADIANS(B12)/2))/((IF(D12="",IFERROR(VLOOKUP(A12,Benddata,2,FALSE()),0),D12))^(4*RADIANS(B12)/PI())),""),"")</f>
        <v/>
      </c>
      <c r="F12" s="16"/>
      <c r="G12" s="41" t="str">
        <f aca="false">IF(F12&lt;&gt;"",F12,E12)</f>
        <v/>
      </c>
      <c r="H12" s="14" t="str">
        <f aca="false">IFERROR(IF(J12="OK",G12*Beregning!$B$25*(Trykkberegning!$E$12/(IF(L12="",Trykkberegning!$E$12,L12)))^4/1000,""),"")</f>
        <v/>
      </c>
      <c r="I12" s="14" t="str">
        <f aca="false">IF(J12="OK",C12*H12,"")</f>
        <v/>
      </c>
      <c r="J12" s="27" t="str">
        <f aca="false">IFERROR(IF(OR(C12="",C12=0),"Ikke med",IF(OR(NOT(ISNUMBER(IF(L12="",Trykkberegning!$E$12,L12))),IF(L12="",Trykkberegning!$E$12,L12)&lt;=0,Trykkberegning!$E$15&gt;=IF(L12="",Trykkberegning!$E$12,L12)),"FEIL: lokal diameter / ruhet",IF(AND(ABS((IF(L12="",Trykkberegning!$E$12,L12))-Trykkberegning!$E$12)&gt;0.000001,COUNTIFS(Reduksjoner!$B$7:$B$31,1,Reduksjoner!$D$7:$D$31,IF(L12="",Trykkberegning!$E$12,L12))=0),"FEIL: lokal ID mangler i reduksjonskjeden",IFERROR(IF(OR(C12="",C12=0),"Ikke med",IF(OR(NOT(ISNUMBER(C12)),C12&lt;0,C12&lt;&gt;INT(C12)),"FEIL: antall",IF(COUNTIF(Bendtyper,A12)=0,"FEIL: velg type",IF(Beregning!$B$3&lt;&gt;"OK","Venter på inndata",IF(F12&lt;&gt;"",IF(OR(NOT(ISNUMBER(F12)),F12&lt;0),"FEIL: eget K","OK"),IF(LEFT(A12,4)&lt;&gt;"Bend","FEIL: oppgi eget K",IF(OR(NOT(ISNUMBER(B12)),B12&lt;=0,B12&gt;180,(IF(D12="",IFERROR(VLOOKUP(A12,Benddata,2,FALSE()),0),D12))&lt;0.5,NOT(ISNUMBER(IF(D12="",IFERROR(VLOOKUP(A12,Benddata,2,FALSE()),0),D12)))),"FEIL: vinkel eller R/Di",IF(AND(M12&gt;0,M12&lt;4000),"FEIL: eget K ved Re&lt;4000","OK")))))))),"FEIL: kontroller tall")))),"FEIL: lokal diameter")</f>
        <v>Ikke med</v>
      </c>
      <c r="K12" s="16"/>
      <c r="L12" s="16"/>
      <c r="M12" s="27" t="n">
        <f aca="false">IFERROR(Beregning!$B$14*Trykkberegning!$E$12/(IF(L12="",Trykkberegning!$E$12,L12)),"")</f>
        <v>153746.774760133</v>
      </c>
      <c r="N12" s="27" t="n">
        <f aca="false">IFERROR(IF(M12=0,0,IF(M12&lt;2300,64/M12,(-1.8*LOG10(((Trykkberegning!$E$15/(IF(L12="",Trykkberegning!$E$12,L12)))/3.7)^1.11+6.9/M12))^(-2))),"")</f>
        <v>0.0193209862491592</v>
      </c>
      <c r="O12" s="27" t="n">
        <f aca="false">IFERROR(IF(M12=0,0,IF(M12&lt;2300,N12,(-2*LOG10((Trykkberegning!$E$15/(IF(L12="",Trykkberegning!$E$12,L12)))/3.7+2.51/(M12*SQRT(N12))))^(-2))),"")</f>
        <v>0.0195393516631449</v>
      </c>
      <c r="P12" s="27" t="n">
        <f aca="false">IFERROR(IF(M12=0,0,IF(M12&lt;2300,N12,(-2*LOG10((Trykkberegning!$E$15/(IF(L12="",Trykkberegning!$E$12,L12)))/3.7+2.51/(M12*SQRT(O12))))^(-2))),"")</f>
        <v>0.019527552936431</v>
      </c>
      <c r="Q12" s="27" t="n">
        <f aca="false">IFERROR(IF(M12=0,0,IF(M12&lt;2300,N12,(-2*LOG10((Trykkberegning!$E$15/(IF(L12="",Trykkberegning!$E$12,L12)))/3.7+2.51/(M12*SQRT(P12))))^(-2))),"")</f>
        <v>0.0195281858572709</v>
      </c>
      <c r="R12" s="27" t="n">
        <f aca="false">IFERROR(IF(M12=0,0,IF(M12&lt;2300,N12,(-2*LOG10((Trykkberegning!$E$15/(IF(L12="",Trykkberegning!$E$12,L12)))/3.7+2.51/(M12*SQRT(Q12))))^(-2))),"")</f>
        <v>0.0195281518922101</v>
      </c>
      <c r="S12" s="27" t="n">
        <f aca="false">IFERROR(IF(M12=0,0,IF(M12&lt;2300,N12,(-2*LOG10((Trykkberegning!$E$15/(IF(L12="",Trykkberegning!$E$12,L12)))/3.7+2.51/(M12*SQRT(R12))))^(-2))),"")</f>
        <v>0.0195281537148729</v>
      </c>
      <c r="T12" s="27" t="n">
        <f aca="false">IFERROR(IF(M12=0,0,IF(M12&lt;2300,N12,(-2*LOG10((Trykkberegning!$E$15/(IF(L12="",Trykkberegning!$E$12,L12)))/3.7+2.51/(M12*SQRT(S12))))^(-2))),"")</f>
        <v>0.0195281536170635</v>
      </c>
    </row>
    <row r="13" customFormat="false" ht="22.5" hidden="false" customHeight="true" outlineLevel="0" collapsed="false">
      <c r="A13" s="16"/>
      <c r="B13" s="18"/>
      <c r="C13" s="18" t="n">
        <v>0</v>
      </c>
      <c r="D13" s="16"/>
      <c r="E13" s="41" t="str">
        <f aca="false">IFERROR(IF(AND(LEFT(A13,4)="Bend",B13&gt;0,B13&lt;=180,(IF(D13="",IFERROR(VLOOKUP(A13,Benddata,2,FALSE()),0),D13))&gt;=0.5,AND(Beregning!$B$3="OK",OR(M13=0,M13&gt;=4000))),T13*RADIANS(B13)*(IF(D13="",IFERROR(VLOOKUP(A13,Benddata,2,FALSE()),0),D13))+(0.1+2.4*T13)*SIN(RADIANS(B13)/2)+6.6*T13*(SQRT(SIN(RADIANS(B13)/2))+SIN(RADIANS(B13)/2))/((IF(D13="",IFERROR(VLOOKUP(A13,Benddata,2,FALSE()),0),D13))^(4*RADIANS(B13)/PI())),""),"")</f>
        <v/>
      </c>
      <c r="F13" s="16"/>
      <c r="G13" s="41" t="str">
        <f aca="false">IF(F13&lt;&gt;"",F13,E13)</f>
        <v/>
      </c>
      <c r="H13" s="14" t="str">
        <f aca="false">IFERROR(IF(J13="OK",G13*Beregning!$B$25*(Trykkberegning!$E$12/(IF(L13="",Trykkberegning!$E$12,L13)))^4/1000,""),"")</f>
        <v/>
      </c>
      <c r="I13" s="14" t="str">
        <f aca="false">IF(J13="OK",C13*H13,"")</f>
        <v/>
      </c>
      <c r="J13" s="27" t="str">
        <f aca="false">IFERROR(IF(OR(C13="",C13=0),"Ikke med",IF(OR(NOT(ISNUMBER(IF(L13="",Trykkberegning!$E$12,L13))),IF(L13="",Trykkberegning!$E$12,L13)&lt;=0,Trykkberegning!$E$15&gt;=IF(L13="",Trykkberegning!$E$12,L13)),"FEIL: lokal diameter / ruhet",IF(AND(ABS((IF(L13="",Trykkberegning!$E$12,L13))-Trykkberegning!$E$12)&gt;0.000001,COUNTIFS(Reduksjoner!$B$7:$B$31,1,Reduksjoner!$D$7:$D$31,IF(L13="",Trykkberegning!$E$12,L13))=0),"FEIL: lokal ID mangler i reduksjonskjeden",IFERROR(IF(OR(C13="",C13=0),"Ikke med",IF(OR(NOT(ISNUMBER(C13)),C13&lt;0,C13&lt;&gt;INT(C13)),"FEIL: antall",IF(COUNTIF(Bendtyper,A13)=0,"FEIL: velg type",IF(Beregning!$B$3&lt;&gt;"OK","Venter på inndata",IF(F13&lt;&gt;"",IF(OR(NOT(ISNUMBER(F13)),F13&lt;0),"FEIL: eget K","OK"),IF(LEFT(A13,4)&lt;&gt;"Bend","FEIL: oppgi eget K",IF(OR(NOT(ISNUMBER(B13)),B13&lt;=0,B13&gt;180,(IF(D13="",IFERROR(VLOOKUP(A13,Benddata,2,FALSE()),0),D13))&lt;0.5,NOT(ISNUMBER(IF(D13="",IFERROR(VLOOKUP(A13,Benddata,2,FALSE()),0),D13)))),"FEIL: vinkel eller R/Di",IF(AND(M13&gt;0,M13&lt;4000),"FEIL: eget K ved Re&lt;4000","OK")))))))),"FEIL: kontroller tall")))),"FEIL: lokal diameter")</f>
        <v>Ikke med</v>
      </c>
      <c r="K13" s="16"/>
      <c r="L13" s="16"/>
      <c r="M13" s="27" t="n">
        <f aca="false">IFERROR(Beregning!$B$14*Trykkberegning!$E$12/(IF(L13="",Trykkberegning!$E$12,L13)),"")</f>
        <v>153746.774760133</v>
      </c>
      <c r="N13" s="27" t="n">
        <f aca="false">IFERROR(IF(M13=0,0,IF(M13&lt;2300,64/M13,(-1.8*LOG10(((Trykkberegning!$E$15/(IF(L13="",Trykkberegning!$E$12,L13)))/3.7)^1.11+6.9/M13))^(-2))),"")</f>
        <v>0.0193209862491592</v>
      </c>
      <c r="O13" s="27" t="n">
        <f aca="false">IFERROR(IF(M13=0,0,IF(M13&lt;2300,N13,(-2*LOG10((Trykkberegning!$E$15/(IF(L13="",Trykkberegning!$E$12,L13)))/3.7+2.51/(M13*SQRT(N13))))^(-2))),"")</f>
        <v>0.0195393516631449</v>
      </c>
      <c r="P13" s="27" t="n">
        <f aca="false">IFERROR(IF(M13=0,0,IF(M13&lt;2300,N13,(-2*LOG10((Trykkberegning!$E$15/(IF(L13="",Trykkberegning!$E$12,L13)))/3.7+2.51/(M13*SQRT(O13))))^(-2))),"")</f>
        <v>0.019527552936431</v>
      </c>
      <c r="Q13" s="27" t="n">
        <f aca="false">IFERROR(IF(M13=0,0,IF(M13&lt;2300,N13,(-2*LOG10((Trykkberegning!$E$15/(IF(L13="",Trykkberegning!$E$12,L13)))/3.7+2.51/(M13*SQRT(P13))))^(-2))),"")</f>
        <v>0.0195281858572709</v>
      </c>
      <c r="R13" s="27" t="n">
        <f aca="false">IFERROR(IF(M13=0,0,IF(M13&lt;2300,N13,(-2*LOG10((Trykkberegning!$E$15/(IF(L13="",Trykkberegning!$E$12,L13)))/3.7+2.51/(M13*SQRT(Q13))))^(-2))),"")</f>
        <v>0.0195281518922101</v>
      </c>
      <c r="S13" s="27" t="n">
        <f aca="false">IFERROR(IF(M13=0,0,IF(M13&lt;2300,N13,(-2*LOG10((Trykkberegning!$E$15/(IF(L13="",Trykkberegning!$E$12,L13)))/3.7+2.51/(M13*SQRT(R13))))^(-2))),"")</f>
        <v>0.0195281537148729</v>
      </c>
      <c r="T13" s="27" t="n">
        <f aca="false">IFERROR(IF(M13=0,0,IF(M13&lt;2300,N13,(-2*LOG10((Trykkberegning!$E$15/(IF(L13="",Trykkberegning!$E$12,L13)))/3.7+2.51/(M13*SQRT(S13))))^(-2))),"")</f>
        <v>0.0195281536170635</v>
      </c>
    </row>
    <row r="14" customFormat="false" ht="22.5" hidden="false" customHeight="true" outlineLevel="0" collapsed="false">
      <c r="A14" s="16"/>
      <c r="B14" s="18"/>
      <c r="C14" s="18" t="n">
        <v>0</v>
      </c>
      <c r="D14" s="16"/>
      <c r="E14" s="41" t="str">
        <f aca="false">IFERROR(IF(AND(LEFT(A14,4)="Bend",B14&gt;0,B14&lt;=180,(IF(D14="",IFERROR(VLOOKUP(A14,Benddata,2,FALSE()),0),D14))&gt;=0.5,AND(Beregning!$B$3="OK",OR(M14=0,M14&gt;=4000))),T14*RADIANS(B14)*(IF(D14="",IFERROR(VLOOKUP(A14,Benddata,2,FALSE()),0),D14))+(0.1+2.4*T14)*SIN(RADIANS(B14)/2)+6.6*T14*(SQRT(SIN(RADIANS(B14)/2))+SIN(RADIANS(B14)/2))/((IF(D14="",IFERROR(VLOOKUP(A14,Benddata,2,FALSE()),0),D14))^(4*RADIANS(B14)/PI())),""),"")</f>
        <v/>
      </c>
      <c r="F14" s="16"/>
      <c r="G14" s="41" t="str">
        <f aca="false">IF(F14&lt;&gt;"",F14,E14)</f>
        <v/>
      </c>
      <c r="H14" s="14" t="str">
        <f aca="false">IFERROR(IF(J14="OK",G14*Beregning!$B$25*(Trykkberegning!$E$12/(IF(L14="",Trykkberegning!$E$12,L14)))^4/1000,""),"")</f>
        <v/>
      </c>
      <c r="I14" s="14" t="str">
        <f aca="false">IF(J14="OK",C14*H14,"")</f>
        <v/>
      </c>
      <c r="J14" s="27" t="str">
        <f aca="false">IFERROR(IF(OR(C14="",C14=0),"Ikke med",IF(OR(NOT(ISNUMBER(IF(L14="",Trykkberegning!$E$12,L14))),IF(L14="",Trykkberegning!$E$12,L14)&lt;=0,Trykkberegning!$E$15&gt;=IF(L14="",Trykkberegning!$E$12,L14)),"FEIL: lokal diameter / ruhet",IF(AND(ABS((IF(L14="",Trykkberegning!$E$12,L14))-Trykkberegning!$E$12)&gt;0.000001,COUNTIFS(Reduksjoner!$B$7:$B$31,1,Reduksjoner!$D$7:$D$31,IF(L14="",Trykkberegning!$E$12,L14))=0),"FEIL: lokal ID mangler i reduksjonskjeden",IFERROR(IF(OR(C14="",C14=0),"Ikke med",IF(OR(NOT(ISNUMBER(C14)),C14&lt;0,C14&lt;&gt;INT(C14)),"FEIL: antall",IF(COUNTIF(Bendtyper,A14)=0,"FEIL: velg type",IF(Beregning!$B$3&lt;&gt;"OK","Venter på inndata",IF(F14&lt;&gt;"",IF(OR(NOT(ISNUMBER(F14)),F14&lt;0),"FEIL: eget K","OK"),IF(LEFT(A14,4)&lt;&gt;"Bend","FEIL: oppgi eget K",IF(OR(NOT(ISNUMBER(B14)),B14&lt;=0,B14&gt;180,(IF(D14="",IFERROR(VLOOKUP(A14,Benddata,2,FALSE()),0),D14))&lt;0.5,NOT(ISNUMBER(IF(D14="",IFERROR(VLOOKUP(A14,Benddata,2,FALSE()),0),D14)))),"FEIL: vinkel eller R/Di",IF(AND(M14&gt;0,M14&lt;4000),"FEIL: eget K ved Re&lt;4000","OK")))))))),"FEIL: kontroller tall")))),"FEIL: lokal diameter")</f>
        <v>Ikke med</v>
      </c>
      <c r="K14" s="16"/>
      <c r="L14" s="16"/>
      <c r="M14" s="27" t="n">
        <f aca="false">IFERROR(Beregning!$B$14*Trykkberegning!$E$12/(IF(L14="",Trykkberegning!$E$12,L14)),"")</f>
        <v>153746.774760133</v>
      </c>
      <c r="N14" s="27" t="n">
        <f aca="false">IFERROR(IF(M14=0,0,IF(M14&lt;2300,64/M14,(-1.8*LOG10(((Trykkberegning!$E$15/(IF(L14="",Trykkberegning!$E$12,L14)))/3.7)^1.11+6.9/M14))^(-2))),"")</f>
        <v>0.0193209862491592</v>
      </c>
      <c r="O14" s="27" t="n">
        <f aca="false">IFERROR(IF(M14=0,0,IF(M14&lt;2300,N14,(-2*LOG10((Trykkberegning!$E$15/(IF(L14="",Trykkberegning!$E$12,L14)))/3.7+2.51/(M14*SQRT(N14))))^(-2))),"")</f>
        <v>0.0195393516631449</v>
      </c>
      <c r="P14" s="27" t="n">
        <f aca="false">IFERROR(IF(M14=0,0,IF(M14&lt;2300,N14,(-2*LOG10((Trykkberegning!$E$15/(IF(L14="",Trykkberegning!$E$12,L14)))/3.7+2.51/(M14*SQRT(O14))))^(-2))),"")</f>
        <v>0.019527552936431</v>
      </c>
      <c r="Q14" s="27" t="n">
        <f aca="false">IFERROR(IF(M14=0,0,IF(M14&lt;2300,N14,(-2*LOG10((Trykkberegning!$E$15/(IF(L14="",Trykkberegning!$E$12,L14)))/3.7+2.51/(M14*SQRT(P14))))^(-2))),"")</f>
        <v>0.0195281858572709</v>
      </c>
      <c r="R14" s="27" t="n">
        <f aca="false">IFERROR(IF(M14=0,0,IF(M14&lt;2300,N14,(-2*LOG10((Trykkberegning!$E$15/(IF(L14="",Trykkberegning!$E$12,L14)))/3.7+2.51/(M14*SQRT(Q14))))^(-2))),"")</f>
        <v>0.0195281518922101</v>
      </c>
      <c r="S14" s="27" t="n">
        <f aca="false">IFERROR(IF(M14=0,0,IF(M14&lt;2300,N14,(-2*LOG10((Trykkberegning!$E$15/(IF(L14="",Trykkberegning!$E$12,L14)))/3.7+2.51/(M14*SQRT(R14))))^(-2))),"")</f>
        <v>0.0195281537148729</v>
      </c>
      <c r="T14" s="27" t="n">
        <f aca="false">IFERROR(IF(M14=0,0,IF(M14&lt;2300,N14,(-2*LOG10((Trykkberegning!$E$15/(IF(L14="",Trykkberegning!$E$12,L14)))/3.7+2.51/(M14*SQRT(S14))))^(-2))),"")</f>
        <v>0.0195281536170635</v>
      </c>
    </row>
    <row r="15" customFormat="false" ht="22.5" hidden="false" customHeight="true" outlineLevel="0" collapsed="false">
      <c r="A15" s="16"/>
      <c r="B15" s="18"/>
      <c r="C15" s="18" t="n">
        <v>0</v>
      </c>
      <c r="D15" s="16"/>
      <c r="E15" s="41" t="str">
        <f aca="false">IFERROR(IF(AND(LEFT(A15,4)="Bend",B15&gt;0,B15&lt;=180,(IF(D15="",IFERROR(VLOOKUP(A15,Benddata,2,FALSE()),0),D15))&gt;=0.5,AND(Beregning!$B$3="OK",OR(M15=0,M15&gt;=4000))),T15*RADIANS(B15)*(IF(D15="",IFERROR(VLOOKUP(A15,Benddata,2,FALSE()),0),D15))+(0.1+2.4*T15)*SIN(RADIANS(B15)/2)+6.6*T15*(SQRT(SIN(RADIANS(B15)/2))+SIN(RADIANS(B15)/2))/((IF(D15="",IFERROR(VLOOKUP(A15,Benddata,2,FALSE()),0),D15))^(4*RADIANS(B15)/PI())),""),"")</f>
        <v/>
      </c>
      <c r="F15" s="16"/>
      <c r="G15" s="41" t="str">
        <f aca="false">IF(F15&lt;&gt;"",F15,E15)</f>
        <v/>
      </c>
      <c r="H15" s="14" t="str">
        <f aca="false">IFERROR(IF(J15="OK",G15*Beregning!$B$25*(Trykkberegning!$E$12/(IF(L15="",Trykkberegning!$E$12,L15)))^4/1000,""),"")</f>
        <v/>
      </c>
      <c r="I15" s="14" t="str">
        <f aca="false">IF(J15="OK",C15*H15,"")</f>
        <v/>
      </c>
      <c r="J15" s="27" t="str">
        <f aca="false">IFERROR(IF(OR(C15="",C15=0),"Ikke med",IF(OR(NOT(ISNUMBER(IF(L15="",Trykkberegning!$E$12,L15))),IF(L15="",Trykkberegning!$E$12,L15)&lt;=0,Trykkberegning!$E$15&gt;=IF(L15="",Trykkberegning!$E$12,L15)),"FEIL: lokal diameter / ruhet",IF(AND(ABS((IF(L15="",Trykkberegning!$E$12,L15))-Trykkberegning!$E$12)&gt;0.000001,COUNTIFS(Reduksjoner!$B$7:$B$31,1,Reduksjoner!$D$7:$D$31,IF(L15="",Trykkberegning!$E$12,L15))=0),"FEIL: lokal ID mangler i reduksjonskjeden",IFERROR(IF(OR(C15="",C15=0),"Ikke med",IF(OR(NOT(ISNUMBER(C15)),C15&lt;0,C15&lt;&gt;INT(C15)),"FEIL: antall",IF(COUNTIF(Bendtyper,A15)=0,"FEIL: velg type",IF(Beregning!$B$3&lt;&gt;"OK","Venter på inndata",IF(F15&lt;&gt;"",IF(OR(NOT(ISNUMBER(F15)),F15&lt;0),"FEIL: eget K","OK"),IF(LEFT(A15,4)&lt;&gt;"Bend","FEIL: oppgi eget K",IF(OR(NOT(ISNUMBER(B15)),B15&lt;=0,B15&gt;180,(IF(D15="",IFERROR(VLOOKUP(A15,Benddata,2,FALSE()),0),D15))&lt;0.5,NOT(ISNUMBER(IF(D15="",IFERROR(VLOOKUP(A15,Benddata,2,FALSE()),0),D15)))),"FEIL: vinkel eller R/Di",IF(AND(M15&gt;0,M15&lt;4000),"FEIL: eget K ved Re&lt;4000","OK")))))))),"FEIL: kontroller tall")))),"FEIL: lokal diameter")</f>
        <v>Ikke med</v>
      </c>
      <c r="K15" s="16"/>
      <c r="L15" s="16"/>
      <c r="M15" s="27" t="n">
        <f aca="false">IFERROR(Beregning!$B$14*Trykkberegning!$E$12/(IF(L15="",Trykkberegning!$E$12,L15)),"")</f>
        <v>153746.774760133</v>
      </c>
      <c r="N15" s="27" t="n">
        <f aca="false">IFERROR(IF(M15=0,0,IF(M15&lt;2300,64/M15,(-1.8*LOG10(((Trykkberegning!$E$15/(IF(L15="",Trykkberegning!$E$12,L15)))/3.7)^1.11+6.9/M15))^(-2))),"")</f>
        <v>0.0193209862491592</v>
      </c>
      <c r="O15" s="27" t="n">
        <f aca="false">IFERROR(IF(M15=0,0,IF(M15&lt;2300,N15,(-2*LOG10((Trykkberegning!$E$15/(IF(L15="",Trykkberegning!$E$12,L15)))/3.7+2.51/(M15*SQRT(N15))))^(-2))),"")</f>
        <v>0.0195393516631449</v>
      </c>
      <c r="P15" s="27" t="n">
        <f aca="false">IFERROR(IF(M15=0,0,IF(M15&lt;2300,N15,(-2*LOG10((Trykkberegning!$E$15/(IF(L15="",Trykkberegning!$E$12,L15)))/3.7+2.51/(M15*SQRT(O15))))^(-2))),"")</f>
        <v>0.019527552936431</v>
      </c>
      <c r="Q15" s="27" t="n">
        <f aca="false">IFERROR(IF(M15=0,0,IF(M15&lt;2300,N15,(-2*LOG10((Trykkberegning!$E$15/(IF(L15="",Trykkberegning!$E$12,L15)))/3.7+2.51/(M15*SQRT(P15))))^(-2))),"")</f>
        <v>0.0195281858572709</v>
      </c>
      <c r="R15" s="27" t="n">
        <f aca="false">IFERROR(IF(M15=0,0,IF(M15&lt;2300,N15,(-2*LOG10((Trykkberegning!$E$15/(IF(L15="",Trykkberegning!$E$12,L15)))/3.7+2.51/(M15*SQRT(Q15))))^(-2))),"")</f>
        <v>0.0195281518922101</v>
      </c>
      <c r="S15" s="27" t="n">
        <f aca="false">IFERROR(IF(M15=0,0,IF(M15&lt;2300,N15,(-2*LOG10((Trykkberegning!$E$15/(IF(L15="",Trykkberegning!$E$12,L15)))/3.7+2.51/(M15*SQRT(R15))))^(-2))),"")</f>
        <v>0.0195281537148729</v>
      </c>
      <c r="T15" s="27" t="n">
        <f aca="false">IFERROR(IF(M15=0,0,IF(M15&lt;2300,N15,(-2*LOG10((Trykkberegning!$E$15/(IF(L15="",Trykkberegning!$E$12,L15)))/3.7+2.51/(M15*SQRT(S15))))^(-2))),"")</f>
        <v>0.0195281536170635</v>
      </c>
    </row>
    <row r="16" customFormat="false" ht="22.5" hidden="false" customHeight="true" outlineLevel="0" collapsed="false">
      <c r="A16" s="16"/>
      <c r="B16" s="18"/>
      <c r="C16" s="18" t="n">
        <v>0</v>
      </c>
      <c r="D16" s="16"/>
      <c r="E16" s="41" t="str">
        <f aca="false">IFERROR(IF(AND(LEFT(A16,4)="Bend",B16&gt;0,B16&lt;=180,(IF(D16="",IFERROR(VLOOKUP(A16,Benddata,2,FALSE()),0),D16))&gt;=0.5,AND(Beregning!$B$3="OK",OR(M16=0,M16&gt;=4000))),T16*RADIANS(B16)*(IF(D16="",IFERROR(VLOOKUP(A16,Benddata,2,FALSE()),0),D16))+(0.1+2.4*T16)*SIN(RADIANS(B16)/2)+6.6*T16*(SQRT(SIN(RADIANS(B16)/2))+SIN(RADIANS(B16)/2))/((IF(D16="",IFERROR(VLOOKUP(A16,Benddata,2,FALSE()),0),D16))^(4*RADIANS(B16)/PI())),""),"")</f>
        <v/>
      </c>
      <c r="F16" s="16"/>
      <c r="G16" s="41" t="str">
        <f aca="false">IF(F16&lt;&gt;"",F16,E16)</f>
        <v/>
      </c>
      <c r="H16" s="14" t="str">
        <f aca="false">IFERROR(IF(J16="OK",G16*Beregning!$B$25*(Trykkberegning!$E$12/(IF(L16="",Trykkberegning!$E$12,L16)))^4/1000,""),"")</f>
        <v/>
      </c>
      <c r="I16" s="14" t="str">
        <f aca="false">IF(J16="OK",C16*H16,"")</f>
        <v/>
      </c>
      <c r="J16" s="27" t="str">
        <f aca="false">IFERROR(IF(OR(C16="",C16=0),"Ikke med",IF(OR(NOT(ISNUMBER(IF(L16="",Trykkberegning!$E$12,L16))),IF(L16="",Trykkberegning!$E$12,L16)&lt;=0,Trykkberegning!$E$15&gt;=IF(L16="",Trykkberegning!$E$12,L16)),"FEIL: lokal diameter / ruhet",IF(AND(ABS((IF(L16="",Trykkberegning!$E$12,L16))-Trykkberegning!$E$12)&gt;0.000001,COUNTIFS(Reduksjoner!$B$7:$B$31,1,Reduksjoner!$D$7:$D$31,IF(L16="",Trykkberegning!$E$12,L16))=0),"FEIL: lokal ID mangler i reduksjonskjeden",IFERROR(IF(OR(C16="",C16=0),"Ikke med",IF(OR(NOT(ISNUMBER(C16)),C16&lt;0,C16&lt;&gt;INT(C16)),"FEIL: antall",IF(COUNTIF(Bendtyper,A16)=0,"FEIL: velg type",IF(Beregning!$B$3&lt;&gt;"OK","Venter på inndata",IF(F16&lt;&gt;"",IF(OR(NOT(ISNUMBER(F16)),F16&lt;0),"FEIL: eget K","OK"),IF(LEFT(A16,4)&lt;&gt;"Bend","FEIL: oppgi eget K",IF(OR(NOT(ISNUMBER(B16)),B16&lt;=0,B16&gt;180,(IF(D16="",IFERROR(VLOOKUP(A16,Benddata,2,FALSE()),0),D16))&lt;0.5,NOT(ISNUMBER(IF(D16="",IFERROR(VLOOKUP(A16,Benddata,2,FALSE()),0),D16)))),"FEIL: vinkel eller R/Di",IF(AND(M16&gt;0,M16&lt;4000),"FEIL: eget K ved Re&lt;4000","OK")))))))),"FEIL: kontroller tall")))),"FEIL: lokal diameter")</f>
        <v>Ikke med</v>
      </c>
      <c r="K16" s="16"/>
      <c r="L16" s="16"/>
      <c r="M16" s="27" t="n">
        <f aca="false">IFERROR(Beregning!$B$14*Trykkberegning!$E$12/(IF(L16="",Trykkberegning!$E$12,L16)),"")</f>
        <v>153746.774760133</v>
      </c>
      <c r="N16" s="27" t="n">
        <f aca="false">IFERROR(IF(M16=0,0,IF(M16&lt;2300,64/M16,(-1.8*LOG10(((Trykkberegning!$E$15/(IF(L16="",Trykkberegning!$E$12,L16)))/3.7)^1.11+6.9/M16))^(-2))),"")</f>
        <v>0.0193209862491592</v>
      </c>
      <c r="O16" s="27" t="n">
        <f aca="false">IFERROR(IF(M16=0,0,IF(M16&lt;2300,N16,(-2*LOG10((Trykkberegning!$E$15/(IF(L16="",Trykkberegning!$E$12,L16)))/3.7+2.51/(M16*SQRT(N16))))^(-2))),"")</f>
        <v>0.0195393516631449</v>
      </c>
      <c r="P16" s="27" t="n">
        <f aca="false">IFERROR(IF(M16=0,0,IF(M16&lt;2300,N16,(-2*LOG10((Trykkberegning!$E$15/(IF(L16="",Trykkberegning!$E$12,L16)))/3.7+2.51/(M16*SQRT(O16))))^(-2))),"")</f>
        <v>0.019527552936431</v>
      </c>
      <c r="Q16" s="27" t="n">
        <f aca="false">IFERROR(IF(M16=0,0,IF(M16&lt;2300,N16,(-2*LOG10((Trykkberegning!$E$15/(IF(L16="",Trykkberegning!$E$12,L16)))/3.7+2.51/(M16*SQRT(P16))))^(-2))),"")</f>
        <v>0.0195281858572709</v>
      </c>
      <c r="R16" s="27" t="n">
        <f aca="false">IFERROR(IF(M16=0,0,IF(M16&lt;2300,N16,(-2*LOG10((Trykkberegning!$E$15/(IF(L16="",Trykkberegning!$E$12,L16)))/3.7+2.51/(M16*SQRT(Q16))))^(-2))),"")</f>
        <v>0.0195281518922101</v>
      </c>
      <c r="S16" s="27" t="n">
        <f aca="false">IFERROR(IF(M16=0,0,IF(M16&lt;2300,N16,(-2*LOG10((Trykkberegning!$E$15/(IF(L16="",Trykkberegning!$E$12,L16)))/3.7+2.51/(M16*SQRT(R16))))^(-2))),"")</f>
        <v>0.0195281537148729</v>
      </c>
      <c r="T16" s="27" t="n">
        <f aca="false">IFERROR(IF(M16=0,0,IF(M16&lt;2300,N16,(-2*LOG10((Trykkberegning!$E$15/(IF(L16="",Trykkberegning!$E$12,L16)))/3.7+2.51/(M16*SQRT(S16))))^(-2))),"")</f>
        <v>0.0195281536170635</v>
      </c>
    </row>
    <row r="17" customFormat="false" ht="22.5" hidden="false" customHeight="true" outlineLevel="0" collapsed="false">
      <c r="A17" s="16"/>
      <c r="B17" s="18"/>
      <c r="C17" s="18" t="n">
        <v>0</v>
      </c>
      <c r="D17" s="16"/>
      <c r="E17" s="41" t="str">
        <f aca="false">IFERROR(IF(AND(LEFT(A17,4)="Bend",B17&gt;0,B17&lt;=180,(IF(D17="",IFERROR(VLOOKUP(A17,Benddata,2,FALSE()),0),D17))&gt;=0.5,AND(Beregning!$B$3="OK",OR(M17=0,M17&gt;=4000))),T17*RADIANS(B17)*(IF(D17="",IFERROR(VLOOKUP(A17,Benddata,2,FALSE()),0),D17))+(0.1+2.4*T17)*SIN(RADIANS(B17)/2)+6.6*T17*(SQRT(SIN(RADIANS(B17)/2))+SIN(RADIANS(B17)/2))/((IF(D17="",IFERROR(VLOOKUP(A17,Benddata,2,FALSE()),0),D17))^(4*RADIANS(B17)/PI())),""),"")</f>
        <v/>
      </c>
      <c r="F17" s="16"/>
      <c r="G17" s="41" t="str">
        <f aca="false">IF(F17&lt;&gt;"",F17,E17)</f>
        <v/>
      </c>
      <c r="H17" s="14" t="str">
        <f aca="false">IFERROR(IF(J17="OK",G17*Beregning!$B$25*(Trykkberegning!$E$12/(IF(L17="",Trykkberegning!$E$12,L17)))^4/1000,""),"")</f>
        <v/>
      </c>
      <c r="I17" s="14" t="str">
        <f aca="false">IF(J17="OK",C17*H17,"")</f>
        <v/>
      </c>
      <c r="J17" s="27" t="str">
        <f aca="false">IFERROR(IF(OR(C17="",C17=0),"Ikke med",IF(OR(NOT(ISNUMBER(IF(L17="",Trykkberegning!$E$12,L17))),IF(L17="",Trykkberegning!$E$12,L17)&lt;=0,Trykkberegning!$E$15&gt;=IF(L17="",Trykkberegning!$E$12,L17)),"FEIL: lokal diameter / ruhet",IF(AND(ABS((IF(L17="",Trykkberegning!$E$12,L17))-Trykkberegning!$E$12)&gt;0.000001,COUNTIFS(Reduksjoner!$B$7:$B$31,1,Reduksjoner!$D$7:$D$31,IF(L17="",Trykkberegning!$E$12,L17))=0),"FEIL: lokal ID mangler i reduksjonskjeden",IFERROR(IF(OR(C17="",C17=0),"Ikke med",IF(OR(NOT(ISNUMBER(C17)),C17&lt;0,C17&lt;&gt;INT(C17)),"FEIL: antall",IF(COUNTIF(Bendtyper,A17)=0,"FEIL: velg type",IF(Beregning!$B$3&lt;&gt;"OK","Venter på inndata",IF(F17&lt;&gt;"",IF(OR(NOT(ISNUMBER(F17)),F17&lt;0),"FEIL: eget K","OK"),IF(LEFT(A17,4)&lt;&gt;"Bend","FEIL: oppgi eget K",IF(OR(NOT(ISNUMBER(B17)),B17&lt;=0,B17&gt;180,(IF(D17="",IFERROR(VLOOKUP(A17,Benddata,2,FALSE()),0),D17))&lt;0.5,NOT(ISNUMBER(IF(D17="",IFERROR(VLOOKUP(A17,Benddata,2,FALSE()),0),D17)))),"FEIL: vinkel eller R/Di",IF(AND(M17&gt;0,M17&lt;4000),"FEIL: eget K ved Re&lt;4000","OK")))))))),"FEIL: kontroller tall")))),"FEIL: lokal diameter")</f>
        <v>Ikke med</v>
      </c>
      <c r="K17" s="16"/>
      <c r="L17" s="16"/>
      <c r="M17" s="27" t="n">
        <f aca="false">IFERROR(Beregning!$B$14*Trykkberegning!$E$12/(IF(L17="",Trykkberegning!$E$12,L17)),"")</f>
        <v>153746.774760133</v>
      </c>
      <c r="N17" s="27" t="n">
        <f aca="false">IFERROR(IF(M17=0,0,IF(M17&lt;2300,64/M17,(-1.8*LOG10(((Trykkberegning!$E$15/(IF(L17="",Trykkberegning!$E$12,L17)))/3.7)^1.11+6.9/M17))^(-2))),"")</f>
        <v>0.0193209862491592</v>
      </c>
      <c r="O17" s="27" t="n">
        <f aca="false">IFERROR(IF(M17=0,0,IF(M17&lt;2300,N17,(-2*LOG10((Trykkberegning!$E$15/(IF(L17="",Trykkberegning!$E$12,L17)))/3.7+2.51/(M17*SQRT(N17))))^(-2))),"")</f>
        <v>0.0195393516631449</v>
      </c>
      <c r="P17" s="27" t="n">
        <f aca="false">IFERROR(IF(M17=0,0,IF(M17&lt;2300,N17,(-2*LOG10((Trykkberegning!$E$15/(IF(L17="",Trykkberegning!$E$12,L17)))/3.7+2.51/(M17*SQRT(O17))))^(-2))),"")</f>
        <v>0.019527552936431</v>
      </c>
      <c r="Q17" s="27" t="n">
        <f aca="false">IFERROR(IF(M17=0,0,IF(M17&lt;2300,N17,(-2*LOG10((Trykkberegning!$E$15/(IF(L17="",Trykkberegning!$E$12,L17)))/3.7+2.51/(M17*SQRT(P17))))^(-2))),"")</f>
        <v>0.0195281858572709</v>
      </c>
      <c r="R17" s="27" t="n">
        <f aca="false">IFERROR(IF(M17=0,0,IF(M17&lt;2300,N17,(-2*LOG10((Trykkberegning!$E$15/(IF(L17="",Trykkberegning!$E$12,L17)))/3.7+2.51/(M17*SQRT(Q17))))^(-2))),"")</f>
        <v>0.0195281518922101</v>
      </c>
      <c r="S17" s="27" t="n">
        <f aca="false">IFERROR(IF(M17=0,0,IF(M17&lt;2300,N17,(-2*LOG10((Trykkberegning!$E$15/(IF(L17="",Trykkberegning!$E$12,L17)))/3.7+2.51/(M17*SQRT(R17))))^(-2))),"")</f>
        <v>0.0195281537148729</v>
      </c>
      <c r="T17" s="27" t="n">
        <f aca="false">IFERROR(IF(M17=0,0,IF(M17&lt;2300,N17,(-2*LOG10((Trykkberegning!$E$15/(IF(L17="",Trykkberegning!$E$12,L17)))/3.7+2.51/(M17*SQRT(S17))))^(-2))),"")</f>
        <v>0.0195281536170635</v>
      </c>
    </row>
    <row r="18" customFormat="false" ht="22.5" hidden="false" customHeight="true" outlineLevel="0" collapsed="false">
      <c r="A18" s="16"/>
      <c r="B18" s="18"/>
      <c r="C18" s="18" t="n">
        <v>0</v>
      </c>
      <c r="D18" s="16"/>
      <c r="E18" s="41" t="str">
        <f aca="false">IFERROR(IF(AND(LEFT(A18,4)="Bend",B18&gt;0,B18&lt;=180,(IF(D18="",IFERROR(VLOOKUP(A18,Benddata,2,FALSE()),0),D18))&gt;=0.5,AND(Beregning!$B$3="OK",OR(M18=0,M18&gt;=4000))),T18*RADIANS(B18)*(IF(D18="",IFERROR(VLOOKUP(A18,Benddata,2,FALSE()),0),D18))+(0.1+2.4*T18)*SIN(RADIANS(B18)/2)+6.6*T18*(SQRT(SIN(RADIANS(B18)/2))+SIN(RADIANS(B18)/2))/((IF(D18="",IFERROR(VLOOKUP(A18,Benddata,2,FALSE()),0),D18))^(4*RADIANS(B18)/PI())),""),"")</f>
        <v/>
      </c>
      <c r="F18" s="16"/>
      <c r="G18" s="41" t="str">
        <f aca="false">IF(F18&lt;&gt;"",F18,E18)</f>
        <v/>
      </c>
      <c r="H18" s="14" t="str">
        <f aca="false">IFERROR(IF(J18="OK",G18*Beregning!$B$25*(Trykkberegning!$E$12/(IF(L18="",Trykkberegning!$E$12,L18)))^4/1000,""),"")</f>
        <v/>
      </c>
      <c r="I18" s="14" t="str">
        <f aca="false">IF(J18="OK",C18*H18,"")</f>
        <v/>
      </c>
      <c r="J18" s="27" t="str">
        <f aca="false">IFERROR(IF(OR(C18="",C18=0),"Ikke med",IF(OR(NOT(ISNUMBER(IF(L18="",Trykkberegning!$E$12,L18))),IF(L18="",Trykkberegning!$E$12,L18)&lt;=0,Trykkberegning!$E$15&gt;=IF(L18="",Trykkberegning!$E$12,L18)),"FEIL: lokal diameter / ruhet",IF(AND(ABS((IF(L18="",Trykkberegning!$E$12,L18))-Trykkberegning!$E$12)&gt;0.000001,COUNTIFS(Reduksjoner!$B$7:$B$31,1,Reduksjoner!$D$7:$D$31,IF(L18="",Trykkberegning!$E$12,L18))=0),"FEIL: lokal ID mangler i reduksjonskjeden",IFERROR(IF(OR(C18="",C18=0),"Ikke med",IF(OR(NOT(ISNUMBER(C18)),C18&lt;0,C18&lt;&gt;INT(C18)),"FEIL: antall",IF(COUNTIF(Bendtyper,A18)=0,"FEIL: velg type",IF(Beregning!$B$3&lt;&gt;"OK","Venter på inndata",IF(F18&lt;&gt;"",IF(OR(NOT(ISNUMBER(F18)),F18&lt;0),"FEIL: eget K","OK"),IF(LEFT(A18,4)&lt;&gt;"Bend","FEIL: oppgi eget K",IF(OR(NOT(ISNUMBER(B18)),B18&lt;=0,B18&gt;180,(IF(D18="",IFERROR(VLOOKUP(A18,Benddata,2,FALSE()),0),D18))&lt;0.5,NOT(ISNUMBER(IF(D18="",IFERROR(VLOOKUP(A18,Benddata,2,FALSE()),0),D18)))),"FEIL: vinkel eller R/Di",IF(AND(M18&gt;0,M18&lt;4000),"FEIL: eget K ved Re&lt;4000","OK")))))))),"FEIL: kontroller tall")))),"FEIL: lokal diameter")</f>
        <v>Ikke med</v>
      </c>
      <c r="K18" s="16"/>
      <c r="L18" s="16"/>
      <c r="M18" s="27" t="n">
        <f aca="false">IFERROR(Beregning!$B$14*Trykkberegning!$E$12/(IF(L18="",Trykkberegning!$E$12,L18)),"")</f>
        <v>153746.774760133</v>
      </c>
      <c r="N18" s="27" t="n">
        <f aca="false">IFERROR(IF(M18=0,0,IF(M18&lt;2300,64/M18,(-1.8*LOG10(((Trykkberegning!$E$15/(IF(L18="",Trykkberegning!$E$12,L18)))/3.7)^1.11+6.9/M18))^(-2))),"")</f>
        <v>0.0193209862491592</v>
      </c>
      <c r="O18" s="27" t="n">
        <f aca="false">IFERROR(IF(M18=0,0,IF(M18&lt;2300,N18,(-2*LOG10((Trykkberegning!$E$15/(IF(L18="",Trykkberegning!$E$12,L18)))/3.7+2.51/(M18*SQRT(N18))))^(-2))),"")</f>
        <v>0.0195393516631449</v>
      </c>
      <c r="P18" s="27" t="n">
        <f aca="false">IFERROR(IF(M18=0,0,IF(M18&lt;2300,N18,(-2*LOG10((Trykkberegning!$E$15/(IF(L18="",Trykkberegning!$E$12,L18)))/3.7+2.51/(M18*SQRT(O18))))^(-2))),"")</f>
        <v>0.019527552936431</v>
      </c>
      <c r="Q18" s="27" t="n">
        <f aca="false">IFERROR(IF(M18=0,0,IF(M18&lt;2300,N18,(-2*LOG10((Trykkberegning!$E$15/(IF(L18="",Trykkberegning!$E$12,L18)))/3.7+2.51/(M18*SQRT(P18))))^(-2))),"")</f>
        <v>0.0195281858572709</v>
      </c>
      <c r="R18" s="27" t="n">
        <f aca="false">IFERROR(IF(M18=0,0,IF(M18&lt;2300,N18,(-2*LOG10((Trykkberegning!$E$15/(IF(L18="",Trykkberegning!$E$12,L18)))/3.7+2.51/(M18*SQRT(Q18))))^(-2))),"")</f>
        <v>0.0195281518922101</v>
      </c>
      <c r="S18" s="27" t="n">
        <f aca="false">IFERROR(IF(M18=0,0,IF(M18&lt;2300,N18,(-2*LOG10((Trykkberegning!$E$15/(IF(L18="",Trykkberegning!$E$12,L18)))/3.7+2.51/(M18*SQRT(R18))))^(-2))),"")</f>
        <v>0.0195281537148729</v>
      </c>
      <c r="T18" s="27" t="n">
        <f aca="false">IFERROR(IF(M18=0,0,IF(M18&lt;2300,N18,(-2*LOG10((Trykkberegning!$E$15/(IF(L18="",Trykkberegning!$E$12,L18)))/3.7+2.51/(M18*SQRT(S18))))^(-2))),"")</f>
        <v>0.0195281536170635</v>
      </c>
    </row>
    <row r="19" customFormat="false" ht="22.5" hidden="false" customHeight="true" outlineLevel="0" collapsed="false">
      <c r="A19" s="16"/>
      <c r="B19" s="18"/>
      <c r="C19" s="18" t="n">
        <v>0</v>
      </c>
      <c r="D19" s="16"/>
      <c r="E19" s="41" t="str">
        <f aca="false">IFERROR(IF(AND(LEFT(A19,4)="Bend",B19&gt;0,B19&lt;=180,(IF(D19="",IFERROR(VLOOKUP(A19,Benddata,2,FALSE()),0),D19))&gt;=0.5,AND(Beregning!$B$3="OK",OR(M19=0,M19&gt;=4000))),T19*RADIANS(B19)*(IF(D19="",IFERROR(VLOOKUP(A19,Benddata,2,FALSE()),0),D19))+(0.1+2.4*T19)*SIN(RADIANS(B19)/2)+6.6*T19*(SQRT(SIN(RADIANS(B19)/2))+SIN(RADIANS(B19)/2))/((IF(D19="",IFERROR(VLOOKUP(A19,Benddata,2,FALSE()),0),D19))^(4*RADIANS(B19)/PI())),""),"")</f>
        <v/>
      </c>
      <c r="F19" s="16"/>
      <c r="G19" s="41" t="str">
        <f aca="false">IF(F19&lt;&gt;"",F19,E19)</f>
        <v/>
      </c>
      <c r="H19" s="14" t="str">
        <f aca="false">IFERROR(IF(J19="OK",G19*Beregning!$B$25*(Trykkberegning!$E$12/(IF(L19="",Trykkberegning!$E$12,L19)))^4/1000,""),"")</f>
        <v/>
      </c>
      <c r="I19" s="14" t="str">
        <f aca="false">IF(J19="OK",C19*H19,"")</f>
        <v/>
      </c>
      <c r="J19" s="27" t="str">
        <f aca="false">IFERROR(IF(OR(C19="",C19=0),"Ikke med",IF(OR(NOT(ISNUMBER(IF(L19="",Trykkberegning!$E$12,L19))),IF(L19="",Trykkberegning!$E$12,L19)&lt;=0,Trykkberegning!$E$15&gt;=IF(L19="",Trykkberegning!$E$12,L19)),"FEIL: lokal diameter / ruhet",IF(AND(ABS((IF(L19="",Trykkberegning!$E$12,L19))-Trykkberegning!$E$12)&gt;0.000001,COUNTIFS(Reduksjoner!$B$7:$B$31,1,Reduksjoner!$D$7:$D$31,IF(L19="",Trykkberegning!$E$12,L19))=0),"FEIL: lokal ID mangler i reduksjonskjeden",IFERROR(IF(OR(C19="",C19=0),"Ikke med",IF(OR(NOT(ISNUMBER(C19)),C19&lt;0,C19&lt;&gt;INT(C19)),"FEIL: antall",IF(COUNTIF(Bendtyper,A19)=0,"FEIL: velg type",IF(Beregning!$B$3&lt;&gt;"OK","Venter på inndata",IF(F19&lt;&gt;"",IF(OR(NOT(ISNUMBER(F19)),F19&lt;0),"FEIL: eget K","OK"),IF(LEFT(A19,4)&lt;&gt;"Bend","FEIL: oppgi eget K",IF(OR(NOT(ISNUMBER(B19)),B19&lt;=0,B19&gt;180,(IF(D19="",IFERROR(VLOOKUP(A19,Benddata,2,FALSE()),0),D19))&lt;0.5,NOT(ISNUMBER(IF(D19="",IFERROR(VLOOKUP(A19,Benddata,2,FALSE()),0),D19)))),"FEIL: vinkel eller R/Di",IF(AND(M19&gt;0,M19&lt;4000),"FEIL: eget K ved Re&lt;4000","OK")))))))),"FEIL: kontroller tall")))),"FEIL: lokal diameter")</f>
        <v>Ikke med</v>
      </c>
      <c r="K19" s="16"/>
      <c r="L19" s="16"/>
      <c r="M19" s="27" t="n">
        <f aca="false">IFERROR(Beregning!$B$14*Trykkberegning!$E$12/(IF(L19="",Trykkberegning!$E$12,L19)),"")</f>
        <v>153746.774760133</v>
      </c>
      <c r="N19" s="27" t="n">
        <f aca="false">IFERROR(IF(M19=0,0,IF(M19&lt;2300,64/M19,(-1.8*LOG10(((Trykkberegning!$E$15/(IF(L19="",Trykkberegning!$E$12,L19)))/3.7)^1.11+6.9/M19))^(-2))),"")</f>
        <v>0.0193209862491592</v>
      </c>
      <c r="O19" s="27" t="n">
        <f aca="false">IFERROR(IF(M19=0,0,IF(M19&lt;2300,N19,(-2*LOG10((Trykkberegning!$E$15/(IF(L19="",Trykkberegning!$E$12,L19)))/3.7+2.51/(M19*SQRT(N19))))^(-2))),"")</f>
        <v>0.0195393516631449</v>
      </c>
      <c r="P19" s="27" t="n">
        <f aca="false">IFERROR(IF(M19=0,0,IF(M19&lt;2300,N19,(-2*LOG10((Trykkberegning!$E$15/(IF(L19="",Trykkberegning!$E$12,L19)))/3.7+2.51/(M19*SQRT(O19))))^(-2))),"")</f>
        <v>0.019527552936431</v>
      </c>
      <c r="Q19" s="27" t="n">
        <f aca="false">IFERROR(IF(M19=0,0,IF(M19&lt;2300,N19,(-2*LOG10((Trykkberegning!$E$15/(IF(L19="",Trykkberegning!$E$12,L19)))/3.7+2.51/(M19*SQRT(P19))))^(-2))),"")</f>
        <v>0.0195281858572709</v>
      </c>
      <c r="R19" s="27" t="n">
        <f aca="false">IFERROR(IF(M19=0,0,IF(M19&lt;2300,N19,(-2*LOG10((Trykkberegning!$E$15/(IF(L19="",Trykkberegning!$E$12,L19)))/3.7+2.51/(M19*SQRT(Q19))))^(-2))),"")</f>
        <v>0.0195281518922101</v>
      </c>
      <c r="S19" s="27" t="n">
        <f aca="false">IFERROR(IF(M19=0,0,IF(M19&lt;2300,N19,(-2*LOG10((Trykkberegning!$E$15/(IF(L19="",Trykkberegning!$E$12,L19)))/3.7+2.51/(M19*SQRT(R19))))^(-2))),"")</f>
        <v>0.0195281537148729</v>
      </c>
      <c r="T19" s="27" t="n">
        <f aca="false">IFERROR(IF(M19=0,0,IF(M19&lt;2300,N19,(-2*LOG10((Trykkberegning!$E$15/(IF(L19="",Trykkberegning!$E$12,L19)))/3.7+2.51/(M19*SQRT(S19))))^(-2))),"")</f>
        <v>0.0195281536170635</v>
      </c>
    </row>
    <row r="20" customFormat="false" ht="22.5" hidden="false" customHeight="true" outlineLevel="0" collapsed="false">
      <c r="A20" s="16"/>
      <c r="B20" s="18"/>
      <c r="C20" s="18" t="n">
        <v>0</v>
      </c>
      <c r="D20" s="16"/>
      <c r="E20" s="41" t="str">
        <f aca="false">IFERROR(IF(AND(LEFT(A20,4)="Bend",B20&gt;0,B20&lt;=180,(IF(D20="",IFERROR(VLOOKUP(A20,Benddata,2,FALSE()),0),D20))&gt;=0.5,AND(Beregning!$B$3="OK",OR(M20=0,M20&gt;=4000))),T20*RADIANS(B20)*(IF(D20="",IFERROR(VLOOKUP(A20,Benddata,2,FALSE()),0),D20))+(0.1+2.4*T20)*SIN(RADIANS(B20)/2)+6.6*T20*(SQRT(SIN(RADIANS(B20)/2))+SIN(RADIANS(B20)/2))/((IF(D20="",IFERROR(VLOOKUP(A20,Benddata,2,FALSE()),0),D20))^(4*RADIANS(B20)/PI())),""),"")</f>
        <v/>
      </c>
      <c r="F20" s="16"/>
      <c r="G20" s="41" t="str">
        <f aca="false">IF(F20&lt;&gt;"",F20,E20)</f>
        <v/>
      </c>
      <c r="H20" s="14" t="str">
        <f aca="false">IFERROR(IF(J20="OK",G20*Beregning!$B$25*(Trykkberegning!$E$12/(IF(L20="",Trykkberegning!$E$12,L20)))^4/1000,""),"")</f>
        <v/>
      </c>
      <c r="I20" s="14" t="str">
        <f aca="false">IF(J20="OK",C20*H20,"")</f>
        <v/>
      </c>
      <c r="J20" s="27" t="str">
        <f aca="false">IFERROR(IF(OR(C20="",C20=0),"Ikke med",IF(OR(NOT(ISNUMBER(IF(L20="",Trykkberegning!$E$12,L20))),IF(L20="",Trykkberegning!$E$12,L20)&lt;=0,Trykkberegning!$E$15&gt;=IF(L20="",Trykkberegning!$E$12,L20)),"FEIL: lokal diameter / ruhet",IF(AND(ABS((IF(L20="",Trykkberegning!$E$12,L20))-Trykkberegning!$E$12)&gt;0.000001,COUNTIFS(Reduksjoner!$B$7:$B$31,1,Reduksjoner!$D$7:$D$31,IF(L20="",Trykkberegning!$E$12,L20))=0),"FEIL: lokal ID mangler i reduksjonskjeden",IFERROR(IF(OR(C20="",C20=0),"Ikke med",IF(OR(NOT(ISNUMBER(C20)),C20&lt;0,C20&lt;&gt;INT(C20)),"FEIL: antall",IF(COUNTIF(Bendtyper,A20)=0,"FEIL: velg type",IF(Beregning!$B$3&lt;&gt;"OK","Venter på inndata",IF(F20&lt;&gt;"",IF(OR(NOT(ISNUMBER(F20)),F20&lt;0),"FEIL: eget K","OK"),IF(LEFT(A20,4)&lt;&gt;"Bend","FEIL: oppgi eget K",IF(OR(NOT(ISNUMBER(B20)),B20&lt;=0,B20&gt;180,(IF(D20="",IFERROR(VLOOKUP(A20,Benddata,2,FALSE()),0),D20))&lt;0.5,NOT(ISNUMBER(IF(D20="",IFERROR(VLOOKUP(A20,Benddata,2,FALSE()),0),D20)))),"FEIL: vinkel eller R/Di",IF(AND(M20&gt;0,M20&lt;4000),"FEIL: eget K ved Re&lt;4000","OK")))))))),"FEIL: kontroller tall")))),"FEIL: lokal diameter")</f>
        <v>Ikke med</v>
      </c>
      <c r="K20" s="16"/>
      <c r="L20" s="16"/>
      <c r="M20" s="27" t="n">
        <f aca="false">IFERROR(Beregning!$B$14*Trykkberegning!$E$12/(IF(L20="",Trykkberegning!$E$12,L20)),"")</f>
        <v>153746.774760133</v>
      </c>
      <c r="N20" s="27" t="n">
        <f aca="false">IFERROR(IF(M20=0,0,IF(M20&lt;2300,64/M20,(-1.8*LOG10(((Trykkberegning!$E$15/(IF(L20="",Trykkberegning!$E$12,L20)))/3.7)^1.11+6.9/M20))^(-2))),"")</f>
        <v>0.0193209862491592</v>
      </c>
      <c r="O20" s="27" t="n">
        <f aca="false">IFERROR(IF(M20=0,0,IF(M20&lt;2300,N20,(-2*LOG10((Trykkberegning!$E$15/(IF(L20="",Trykkberegning!$E$12,L20)))/3.7+2.51/(M20*SQRT(N20))))^(-2))),"")</f>
        <v>0.0195393516631449</v>
      </c>
      <c r="P20" s="27" t="n">
        <f aca="false">IFERROR(IF(M20=0,0,IF(M20&lt;2300,N20,(-2*LOG10((Trykkberegning!$E$15/(IF(L20="",Trykkberegning!$E$12,L20)))/3.7+2.51/(M20*SQRT(O20))))^(-2))),"")</f>
        <v>0.019527552936431</v>
      </c>
      <c r="Q20" s="27" t="n">
        <f aca="false">IFERROR(IF(M20=0,0,IF(M20&lt;2300,N20,(-2*LOG10((Trykkberegning!$E$15/(IF(L20="",Trykkberegning!$E$12,L20)))/3.7+2.51/(M20*SQRT(P20))))^(-2))),"")</f>
        <v>0.0195281858572709</v>
      </c>
      <c r="R20" s="27" t="n">
        <f aca="false">IFERROR(IF(M20=0,0,IF(M20&lt;2300,N20,(-2*LOG10((Trykkberegning!$E$15/(IF(L20="",Trykkberegning!$E$12,L20)))/3.7+2.51/(M20*SQRT(Q20))))^(-2))),"")</f>
        <v>0.0195281518922101</v>
      </c>
      <c r="S20" s="27" t="n">
        <f aca="false">IFERROR(IF(M20=0,0,IF(M20&lt;2300,N20,(-2*LOG10((Trykkberegning!$E$15/(IF(L20="",Trykkberegning!$E$12,L20)))/3.7+2.51/(M20*SQRT(R20))))^(-2))),"")</f>
        <v>0.0195281537148729</v>
      </c>
      <c r="T20" s="27" t="n">
        <f aca="false">IFERROR(IF(M20=0,0,IF(M20&lt;2300,N20,(-2*LOG10((Trykkberegning!$E$15/(IF(L20="",Trykkberegning!$E$12,L20)))/3.7+2.51/(M20*SQRT(S20))))^(-2))),"")</f>
        <v>0.0195281536170635</v>
      </c>
    </row>
    <row r="21" customFormat="false" ht="22.5" hidden="false" customHeight="true" outlineLevel="0" collapsed="false">
      <c r="A21" s="16"/>
      <c r="B21" s="18"/>
      <c r="C21" s="18" t="n">
        <v>0</v>
      </c>
      <c r="D21" s="16"/>
      <c r="E21" s="41" t="str">
        <f aca="false">IFERROR(IF(AND(LEFT(A21,4)="Bend",B21&gt;0,B21&lt;=180,(IF(D21="",IFERROR(VLOOKUP(A21,Benddata,2,FALSE()),0),D21))&gt;=0.5,AND(Beregning!$B$3="OK",OR(M21=0,M21&gt;=4000))),T21*RADIANS(B21)*(IF(D21="",IFERROR(VLOOKUP(A21,Benddata,2,FALSE()),0),D21))+(0.1+2.4*T21)*SIN(RADIANS(B21)/2)+6.6*T21*(SQRT(SIN(RADIANS(B21)/2))+SIN(RADIANS(B21)/2))/((IF(D21="",IFERROR(VLOOKUP(A21,Benddata,2,FALSE()),0),D21))^(4*RADIANS(B21)/PI())),""),"")</f>
        <v/>
      </c>
      <c r="F21" s="16"/>
      <c r="G21" s="41" t="str">
        <f aca="false">IF(F21&lt;&gt;"",F21,E21)</f>
        <v/>
      </c>
      <c r="H21" s="14" t="str">
        <f aca="false">IFERROR(IF(J21="OK",G21*Beregning!$B$25*(Trykkberegning!$E$12/(IF(L21="",Trykkberegning!$E$12,L21)))^4/1000,""),"")</f>
        <v/>
      </c>
      <c r="I21" s="14" t="str">
        <f aca="false">IF(J21="OK",C21*H21,"")</f>
        <v/>
      </c>
      <c r="J21" s="27" t="str">
        <f aca="false">IFERROR(IF(OR(C21="",C21=0),"Ikke med",IF(OR(NOT(ISNUMBER(IF(L21="",Trykkberegning!$E$12,L21))),IF(L21="",Trykkberegning!$E$12,L21)&lt;=0,Trykkberegning!$E$15&gt;=IF(L21="",Trykkberegning!$E$12,L21)),"FEIL: lokal diameter / ruhet",IF(AND(ABS((IF(L21="",Trykkberegning!$E$12,L21))-Trykkberegning!$E$12)&gt;0.000001,COUNTIFS(Reduksjoner!$B$7:$B$31,1,Reduksjoner!$D$7:$D$31,IF(L21="",Trykkberegning!$E$12,L21))=0),"FEIL: lokal ID mangler i reduksjonskjeden",IFERROR(IF(OR(C21="",C21=0),"Ikke med",IF(OR(NOT(ISNUMBER(C21)),C21&lt;0,C21&lt;&gt;INT(C21)),"FEIL: antall",IF(COUNTIF(Bendtyper,A21)=0,"FEIL: velg type",IF(Beregning!$B$3&lt;&gt;"OK","Venter på inndata",IF(F21&lt;&gt;"",IF(OR(NOT(ISNUMBER(F21)),F21&lt;0),"FEIL: eget K","OK"),IF(LEFT(A21,4)&lt;&gt;"Bend","FEIL: oppgi eget K",IF(OR(NOT(ISNUMBER(B21)),B21&lt;=0,B21&gt;180,(IF(D21="",IFERROR(VLOOKUP(A21,Benddata,2,FALSE()),0),D21))&lt;0.5,NOT(ISNUMBER(IF(D21="",IFERROR(VLOOKUP(A21,Benddata,2,FALSE()),0),D21)))),"FEIL: vinkel eller R/Di",IF(AND(M21&gt;0,M21&lt;4000),"FEIL: eget K ved Re&lt;4000","OK")))))))),"FEIL: kontroller tall")))),"FEIL: lokal diameter")</f>
        <v>Ikke med</v>
      </c>
      <c r="K21" s="16"/>
      <c r="L21" s="16"/>
      <c r="M21" s="27" t="n">
        <f aca="false">IFERROR(Beregning!$B$14*Trykkberegning!$E$12/(IF(L21="",Trykkberegning!$E$12,L21)),"")</f>
        <v>153746.774760133</v>
      </c>
      <c r="N21" s="27" t="n">
        <f aca="false">IFERROR(IF(M21=0,0,IF(M21&lt;2300,64/M21,(-1.8*LOG10(((Trykkberegning!$E$15/(IF(L21="",Trykkberegning!$E$12,L21)))/3.7)^1.11+6.9/M21))^(-2))),"")</f>
        <v>0.0193209862491592</v>
      </c>
      <c r="O21" s="27" t="n">
        <f aca="false">IFERROR(IF(M21=0,0,IF(M21&lt;2300,N21,(-2*LOG10((Trykkberegning!$E$15/(IF(L21="",Trykkberegning!$E$12,L21)))/3.7+2.51/(M21*SQRT(N21))))^(-2))),"")</f>
        <v>0.0195393516631449</v>
      </c>
      <c r="P21" s="27" t="n">
        <f aca="false">IFERROR(IF(M21=0,0,IF(M21&lt;2300,N21,(-2*LOG10((Trykkberegning!$E$15/(IF(L21="",Trykkberegning!$E$12,L21)))/3.7+2.51/(M21*SQRT(O21))))^(-2))),"")</f>
        <v>0.019527552936431</v>
      </c>
      <c r="Q21" s="27" t="n">
        <f aca="false">IFERROR(IF(M21=0,0,IF(M21&lt;2300,N21,(-2*LOG10((Trykkberegning!$E$15/(IF(L21="",Trykkberegning!$E$12,L21)))/3.7+2.51/(M21*SQRT(P21))))^(-2))),"")</f>
        <v>0.0195281858572709</v>
      </c>
      <c r="R21" s="27" t="n">
        <f aca="false">IFERROR(IF(M21=0,0,IF(M21&lt;2300,N21,(-2*LOG10((Trykkberegning!$E$15/(IF(L21="",Trykkberegning!$E$12,L21)))/3.7+2.51/(M21*SQRT(Q21))))^(-2))),"")</f>
        <v>0.0195281518922101</v>
      </c>
      <c r="S21" s="27" t="n">
        <f aca="false">IFERROR(IF(M21=0,0,IF(M21&lt;2300,N21,(-2*LOG10((Trykkberegning!$E$15/(IF(L21="",Trykkberegning!$E$12,L21)))/3.7+2.51/(M21*SQRT(R21))))^(-2))),"")</f>
        <v>0.0195281537148729</v>
      </c>
      <c r="T21" s="27" t="n">
        <f aca="false">IFERROR(IF(M21=0,0,IF(M21&lt;2300,N21,(-2*LOG10((Trykkberegning!$E$15/(IF(L21="",Trykkberegning!$E$12,L21)))/3.7+2.51/(M21*SQRT(S21))))^(-2))),"")</f>
        <v>0.0195281536170635</v>
      </c>
    </row>
    <row r="22" customFormat="false" ht="22.5" hidden="false" customHeight="true" outlineLevel="0" collapsed="false">
      <c r="A22" s="16"/>
      <c r="B22" s="18"/>
      <c r="C22" s="18" t="n">
        <v>0</v>
      </c>
      <c r="D22" s="16"/>
      <c r="E22" s="41" t="str">
        <f aca="false">IFERROR(IF(AND(LEFT(A22,4)="Bend",B22&gt;0,B22&lt;=180,(IF(D22="",IFERROR(VLOOKUP(A22,Benddata,2,FALSE()),0),D22))&gt;=0.5,AND(Beregning!$B$3="OK",OR(M22=0,M22&gt;=4000))),T22*RADIANS(B22)*(IF(D22="",IFERROR(VLOOKUP(A22,Benddata,2,FALSE()),0),D22))+(0.1+2.4*T22)*SIN(RADIANS(B22)/2)+6.6*T22*(SQRT(SIN(RADIANS(B22)/2))+SIN(RADIANS(B22)/2))/((IF(D22="",IFERROR(VLOOKUP(A22,Benddata,2,FALSE()),0),D22))^(4*RADIANS(B22)/PI())),""),"")</f>
        <v/>
      </c>
      <c r="F22" s="16"/>
      <c r="G22" s="41" t="str">
        <f aca="false">IF(F22&lt;&gt;"",F22,E22)</f>
        <v/>
      </c>
      <c r="H22" s="14" t="str">
        <f aca="false">IFERROR(IF(J22="OK",G22*Beregning!$B$25*(Trykkberegning!$E$12/(IF(L22="",Trykkberegning!$E$12,L22)))^4/1000,""),"")</f>
        <v/>
      </c>
      <c r="I22" s="14" t="str">
        <f aca="false">IF(J22="OK",C22*H22,"")</f>
        <v/>
      </c>
      <c r="J22" s="27" t="str">
        <f aca="false">IFERROR(IF(OR(C22="",C22=0),"Ikke med",IF(OR(NOT(ISNUMBER(IF(L22="",Trykkberegning!$E$12,L22))),IF(L22="",Trykkberegning!$E$12,L22)&lt;=0,Trykkberegning!$E$15&gt;=IF(L22="",Trykkberegning!$E$12,L22)),"FEIL: lokal diameter / ruhet",IF(AND(ABS((IF(L22="",Trykkberegning!$E$12,L22))-Trykkberegning!$E$12)&gt;0.000001,COUNTIFS(Reduksjoner!$B$7:$B$31,1,Reduksjoner!$D$7:$D$31,IF(L22="",Trykkberegning!$E$12,L22))=0),"FEIL: lokal ID mangler i reduksjonskjeden",IFERROR(IF(OR(C22="",C22=0),"Ikke med",IF(OR(NOT(ISNUMBER(C22)),C22&lt;0,C22&lt;&gt;INT(C22)),"FEIL: antall",IF(COUNTIF(Bendtyper,A22)=0,"FEIL: velg type",IF(Beregning!$B$3&lt;&gt;"OK","Venter på inndata",IF(F22&lt;&gt;"",IF(OR(NOT(ISNUMBER(F22)),F22&lt;0),"FEIL: eget K","OK"),IF(LEFT(A22,4)&lt;&gt;"Bend","FEIL: oppgi eget K",IF(OR(NOT(ISNUMBER(B22)),B22&lt;=0,B22&gt;180,(IF(D22="",IFERROR(VLOOKUP(A22,Benddata,2,FALSE()),0),D22))&lt;0.5,NOT(ISNUMBER(IF(D22="",IFERROR(VLOOKUP(A22,Benddata,2,FALSE()),0),D22)))),"FEIL: vinkel eller R/Di",IF(AND(M22&gt;0,M22&lt;4000),"FEIL: eget K ved Re&lt;4000","OK")))))))),"FEIL: kontroller tall")))),"FEIL: lokal diameter")</f>
        <v>Ikke med</v>
      </c>
      <c r="K22" s="16"/>
      <c r="L22" s="16"/>
      <c r="M22" s="27" t="n">
        <f aca="false">IFERROR(Beregning!$B$14*Trykkberegning!$E$12/(IF(L22="",Trykkberegning!$E$12,L22)),"")</f>
        <v>153746.774760133</v>
      </c>
      <c r="N22" s="27" t="n">
        <f aca="false">IFERROR(IF(M22=0,0,IF(M22&lt;2300,64/M22,(-1.8*LOG10(((Trykkberegning!$E$15/(IF(L22="",Trykkberegning!$E$12,L22)))/3.7)^1.11+6.9/M22))^(-2))),"")</f>
        <v>0.0193209862491592</v>
      </c>
      <c r="O22" s="27" t="n">
        <f aca="false">IFERROR(IF(M22=0,0,IF(M22&lt;2300,N22,(-2*LOG10((Trykkberegning!$E$15/(IF(L22="",Trykkberegning!$E$12,L22)))/3.7+2.51/(M22*SQRT(N22))))^(-2))),"")</f>
        <v>0.0195393516631449</v>
      </c>
      <c r="P22" s="27" t="n">
        <f aca="false">IFERROR(IF(M22=0,0,IF(M22&lt;2300,N22,(-2*LOG10((Trykkberegning!$E$15/(IF(L22="",Trykkberegning!$E$12,L22)))/3.7+2.51/(M22*SQRT(O22))))^(-2))),"")</f>
        <v>0.019527552936431</v>
      </c>
      <c r="Q22" s="27" t="n">
        <f aca="false">IFERROR(IF(M22=0,0,IF(M22&lt;2300,N22,(-2*LOG10((Trykkberegning!$E$15/(IF(L22="",Trykkberegning!$E$12,L22)))/3.7+2.51/(M22*SQRT(P22))))^(-2))),"")</f>
        <v>0.0195281858572709</v>
      </c>
      <c r="R22" s="27" t="n">
        <f aca="false">IFERROR(IF(M22=0,0,IF(M22&lt;2300,N22,(-2*LOG10((Trykkberegning!$E$15/(IF(L22="",Trykkberegning!$E$12,L22)))/3.7+2.51/(M22*SQRT(Q22))))^(-2))),"")</f>
        <v>0.0195281518922101</v>
      </c>
      <c r="S22" s="27" t="n">
        <f aca="false">IFERROR(IF(M22=0,0,IF(M22&lt;2300,N22,(-2*LOG10((Trykkberegning!$E$15/(IF(L22="",Trykkberegning!$E$12,L22)))/3.7+2.51/(M22*SQRT(R22))))^(-2))),"")</f>
        <v>0.0195281537148729</v>
      </c>
      <c r="T22" s="27" t="n">
        <f aca="false">IFERROR(IF(M22=0,0,IF(M22&lt;2300,N22,(-2*LOG10((Trykkberegning!$E$15/(IF(L22="",Trykkberegning!$E$12,L22)))/3.7+2.51/(M22*SQRT(S22))))^(-2))),"")</f>
        <v>0.0195281536170635</v>
      </c>
    </row>
    <row r="23" customFormat="false" ht="22.5" hidden="false" customHeight="true" outlineLevel="0" collapsed="false">
      <c r="A23" s="16"/>
      <c r="B23" s="18"/>
      <c r="C23" s="18" t="n">
        <v>0</v>
      </c>
      <c r="D23" s="16"/>
      <c r="E23" s="41" t="str">
        <f aca="false">IFERROR(IF(AND(LEFT(A23,4)="Bend",B23&gt;0,B23&lt;=180,(IF(D23="",IFERROR(VLOOKUP(A23,Benddata,2,FALSE()),0),D23))&gt;=0.5,AND(Beregning!$B$3="OK",OR(M23=0,M23&gt;=4000))),T23*RADIANS(B23)*(IF(D23="",IFERROR(VLOOKUP(A23,Benddata,2,FALSE()),0),D23))+(0.1+2.4*T23)*SIN(RADIANS(B23)/2)+6.6*T23*(SQRT(SIN(RADIANS(B23)/2))+SIN(RADIANS(B23)/2))/((IF(D23="",IFERROR(VLOOKUP(A23,Benddata,2,FALSE()),0),D23))^(4*RADIANS(B23)/PI())),""),"")</f>
        <v/>
      </c>
      <c r="F23" s="16"/>
      <c r="G23" s="41" t="str">
        <f aca="false">IF(F23&lt;&gt;"",F23,E23)</f>
        <v/>
      </c>
      <c r="H23" s="14" t="str">
        <f aca="false">IFERROR(IF(J23="OK",G23*Beregning!$B$25*(Trykkberegning!$E$12/(IF(L23="",Trykkberegning!$E$12,L23)))^4/1000,""),"")</f>
        <v/>
      </c>
      <c r="I23" s="14" t="str">
        <f aca="false">IF(J23="OK",C23*H23,"")</f>
        <v/>
      </c>
      <c r="J23" s="27" t="str">
        <f aca="false">IFERROR(IF(OR(C23="",C23=0),"Ikke med",IF(OR(NOT(ISNUMBER(IF(L23="",Trykkberegning!$E$12,L23))),IF(L23="",Trykkberegning!$E$12,L23)&lt;=0,Trykkberegning!$E$15&gt;=IF(L23="",Trykkberegning!$E$12,L23)),"FEIL: lokal diameter / ruhet",IF(AND(ABS((IF(L23="",Trykkberegning!$E$12,L23))-Trykkberegning!$E$12)&gt;0.000001,COUNTIFS(Reduksjoner!$B$7:$B$31,1,Reduksjoner!$D$7:$D$31,IF(L23="",Trykkberegning!$E$12,L23))=0),"FEIL: lokal ID mangler i reduksjonskjeden",IFERROR(IF(OR(C23="",C23=0),"Ikke med",IF(OR(NOT(ISNUMBER(C23)),C23&lt;0,C23&lt;&gt;INT(C23)),"FEIL: antall",IF(COUNTIF(Bendtyper,A23)=0,"FEIL: velg type",IF(Beregning!$B$3&lt;&gt;"OK","Venter på inndata",IF(F23&lt;&gt;"",IF(OR(NOT(ISNUMBER(F23)),F23&lt;0),"FEIL: eget K","OK"),IF(LEFT(A23,4)&lt;&gt;"Bend","FEIL: oppgi eget K",IF(OR(NOT(ISNUMBER(B23)),B23&lt;=0,B23&gt;180,(IF(D23="",IFERROR(VLOOKUP(A23,Benddata,2,FALSE()),0),D23))&lt;0.5,NOT(ISNUMBER(IF(D23="",IFERROR(VLOOKUP(A23,Benddata,2,FALSE()),0),D23)))),"FEIL: vinkel eller R/Di",IF(AND(M23&gt;0,M23&lt;4000),"FEIL: eget K ved Re&lt;4000","OK")))))))),"FEIL: kontroller tall")))),"FEIL: lokal diameter")</f>
        <v>Ikke med</v>
      </c>
      <c r="K23" s="16"/>
      <c r="L23" s="16"/>
      <c r="M23" s="27" t="n">
        <f aca="false">IFERROR(Beregning!$B$14*Trykkberegning!$E$12/(IF(L23="",Trykkberegning!$E$12,L23)),"")</f>
        <v>153746.774760133</v>
      </c>
      <c r="N23" s="27" t="n">
        <f aca="false">IFERROR(IF(M23=0,0,IF(M23&lt;2300,64/M23,(-1.8*LOG10(((Trykkberegning!$E$15/(IF(L23="",Trykkberegning!$E$12,L23)))/3.7)^1.11+6.9/M23))^(-2))),"")</f>
        <v>0.0193209862491592</v>
      </c>
      <c r="O23" s="27" t="n">
        <f aca="false">IFERROR(IF(M23=0,0,IF(M23&lt;2300,N23,(-2*LOG10((Trykkberegning!$E$15/(IF(L23="",Trykkberegning!$E$12,L23)))/3.7+2.51/(M23*SQRT(N23))))^(-2))),"")</f>
        <v>0.0195393516631449</v>
      </c>
      <c r="P23" s="27" t="n">
        <f aca="false">IFERROR(IF(M23=0,0,IF(M23&lt;2300,N23,(-2*LOG10((Trykkberegning!$E$15/(IF(L23="",Trykkberegning!$E$12,L23)))/3.7+2.51/(M23*SQRT(O23))))^(-2))),"")</f>
        <v>0.019527552936431</v>
      </c>
      <c r="Q23" s="27" t="n">
        <f aca="false">IFERROR(IF(M23=0,0,IF(M23&lt;2300,N23,(-2*LOG10((Trykkberegning!$E$15/(IF(L23="",Trykkberegning!$E$12,L23)))/3.7+2.51/(M23*SQRT(P23))))^(-2))),"")</f>
        <v>0.0195281858572709</v>
      </c>
      <c r="R23" s="27" t="n">
        <f aca="false">IFERROR(IF(M23=0,0,IF(M23&lt;2300,N23,(-2*LOG10((Trykkberegning!$E$15/(IF(L23="",Trykkberegning!$E$12,L23)))/3.7+2.51/(M23*SQRT(Q23))))^(-2))),"")</f>
        <v>0.0195281518922101</v>
      </c>
      <c r="S23" s="27" t="n">
        <f aca="false">IFERROR(IF(M23=0,0,IF(M23&lt;2300,N23,(-2*LOG10((Trykkberegning!$E$15/(IF(L23="",Trykkberegning!$E$12,L23)))/3.7+2.51/(M23*SQRT(R23))))^(-2))),"")</f>
        <v>0.0195281537148729</v>
      </c>
      <c r="T23" s="27" t="n">
        <f aca="false">IFERROR(IF(M23=0,0,IF(M23&lt;2300,N23,(-2*LOG10((Trykkberegning!$E$15/(IF(L23="",Trykkberegning!$E$12,L23)))/3.7+2.51/(M23*SQRT(S23))))^(-2))),"")</f>
        <v>0.0195281536170635</v>
      </c>
    </row>
    <row r="24" customFormat="false" ht="22.5" hidden="false" customHeight="true" outlineLevel="0" collapsed="false">
      <c r="A24" s="16"/>
      <c r="B24" s="18"/>
      <c r="C24" s="18" t="n">
        <v>0</v>
      </c>
      <c r="D24" s="16"/>
      <c r="E24" s="41" t="str">
        <f aca="false">IFERROR(IF(AND(LEFT(A24,4)="Bend",B24&gt;0,B24&lt;=180,(IF(D24="",IFERROR(VLOOKUP(A24,Benddata,2,FALSE()),0),D24))&gt;=0.5,AND(Beregning!$B$3="OK",OR(M24=0,M24&gt;=4000))),T24*RADIANS(B24)*(IF(D24="",IFERROR(VLOOKUP(A24,Benddata,2,FALSE()),0),D24))+(0.1+2.4*T24)*SIN(RADIANS(B24)/2)+6.6*T24*(SQRT(SIN(RADIANS(B24)/2))+SIN(RADIANS(B24)/2))/((IF(D24="",IFERROR(VLOOKUP(A24,Benddata,2,FALSE()),0),D24))^(4*RADIANS(B24)/PI())),""),"")</f>
        <v/>
      </c>
      <c r="F24" s="16"/>
      <c r="G24" s="41" t="str">
        <f aca="false">IF(F24&lt;&gt;"",F24,E24)</f>
        <v/>
      </c>
      <c r="H24" s="14" t="str">
        <f aca="false">IFERROR(IF(J24="OK",G24*Beregning!$B$25*(Trykkberegning!$E$12/(IF(L24="",Trykkberegning!$E$12,L24)))^4/1000,""),"")</f>
        <v/>
      </c>
      <c r="I24" s="14" t="str">
        <f aca="false">IF(J24="OK",C24*H24,"")</f>
        <v/>
      </c>
      <c r="J24" s="27" t="str">
        <f aca="false">IFERROR(IF(OR(C24="",C24=0),"Ikke med",IF(OR(NOT(ISNUMBER(IF(L24="",Trykkberegning!$E$12,L24))),IF(L24="",Trykkberegning!$E$12,L24)&lt;=0,Trykkberegning!$E$15&gt;=IF(L24="",Trykkberegning!$E$12,L24)),"FEIL: lokal diameter / ruhet",IF(AND(ABS((IF(L24="",Trykkberegning!$E$12,L24))-Trykkberegning!$E$12)&gt;0.000001,COUNTIFS(Reduksjoner!$B$7:$B$31,1,Reduksjoner!$D$7:$D$31,IF(L24="",Trykkberegning!$E$12,L24))=0),"FEIL: lokal ID mangler i reduksjonskjeden",IFERROR(IF(OR(C24="",C24=0),"Ikke med",IF(OR(NOT(ISNUMBER(C24)),C24&lt;0,C24&lt;&gt;INT(C24)),"FEIL: antall",IF(COUNTIF(Bendtyper,A24)=0,"FEIL: velg type",IF(Beregning!$B$3&lt;&gt;"OK","Venter på inndata",IF(F24&lt;&gt;"",IF(OR(NOT(ISNUMBER(F24)),F24&lt;0),"FEIL: eget K","OK"),IF(LEFT(A24,4)&lt;&gt;"Bend","FEIL: oppgi eget K",IF(OR(NOT(ISNUMBER(B24)),B24&lt;=0,B24&gt;180,(IF(D24="",IFERROR(VLOOKUP(A24,Benddata,2,FALSE()),0),D24))&lt;0.5,NOT(ISNUMBER(IF(D24="",IFERROR(VLOOKUP(A24,Benddata,2,FALSE()),0),D24)))),"FEIL: vinkel eller R/Di",IF(AND(M24&gt;0,M24&lt;4000),"FEIL: eget K ved Re&lt;4000","OK")))))))),"FEIL: kontroller tall")))),"FEIL: lokal diameter")</f>
        <v>Ikke med</v>
      </c>
      <c r="K24" s="16"/>
      <c r="L24" s="16"/>
      <c r="M24" s="27" t="n">
        <f aca="false">IFERROR(Beregning!$B$14*Trykkberegning!$E$12/(IF(L24="",Trykkberegning!$E$12,L24)),"")</f>
        <v>153746.774760133</v>
      </c>
      <c r="N24" s="27" t="n">
        <f aca="false">IFERROR(IF(M24=0,0,IF(M24&lt;2300,64/M24,(-1.8*LOG10(((Trykkberegning!$E$15/(IF(L24="",Trykkberegning!$E$12,L24)))/3.7)^1.11+6.9/M24))^(-2))),"")</f>
        <v>0.0193209862491592</v>
      </c>
      <c r="O24" s="27" t="n">
        <f aca="false">IFERROR(IF(M24=0,0,IF(M24&lt;2300,N24,(-2*LOG10((Trykkberegning!$E$15/(IF(L24="",Trykkberegning!$E$12,L24)))/3.7+2.51/(M24*SQRT(N24))))^(-2))),"")</f>
        <v>0.0195393516631449</v>
      </c>
      <c r="P24" s="27" t="n">
        <f aca="false">IFERROR(IF(M24=0,0,IF(M24&lt;2300,N24,(-2*LOG10((Trykkberegning!$E$15/(IF(L24="",Trykkberegning!$E$12,L24)))/3.7+2.51/(M24*SQRT(O24))))^(-2))),"")</f>
        <v>0.019527552936431</v>
      </c>
      <c r="Q24" s="27" t="n">
        <f aca="false">IFERROR(IF(M24=0,0,IF(M24&lt;2300,N24,(-2*LOG10((Trykkberegning!$E$15/(IF(L24="",Trykkberegning!$E$12,L24)))/3.7+2.51/(M24*SQRT(P24))))^(-2))),"")</f>
        <v>0.0195281858572709</v>
      </c>
      <c r="R24" s="27" t="n">
        <f aca="false">IFERROR(IF(M24=0,0,IF(M24&lt;2300,N24,(-2*LOG10((Trykkberegning!$E$15/(IF(L24="",Trykkberegning!$E$12,L24)))/3.7+2.51/(M24*SQRT(Q24))))^(-2))),"")</f>
        <v>0.0195281518922101</v>
      </c>
      <c r="S24" s="27" t="n">
        <f aca="false">IFERROR(IF(M24=0,0,IF(M24&lt;2300,N24,(-2*LOG10((Trykkberegning!$E$15/(IF(L24="",Trykkberegning!$E$12,L24)))/3.7+2.51/(M24*SQRT(R24))))^(-2))),"")</f>
        <v>0.0195281537148729</v>
      </c>
      <c r="T24" s="27" t="n">
        <f aca="false">IFERROR(IF(M24=0,0,IF(M24&lt;2300,N24,(-2*LOG10((Trykkberegning!$E$15/(IF(L24="",Trykkberegning!$E$12,L24)))/3.7+2.51/(M24*SQRT(S24))))^(-2))),"")</f>
        <v>0.0195281536170635</v>
      </c>
    </row>
    <row r="25" customFormat="false" ht="22.5" hidden="false" customHeight="true" outlineLevel="0" collapsed="false">
      <c r="A25" s="16"/>
      <c r="B25" s="18"/>
      <c r="C25" s="18" t="n">
        <v>0</v>
      </c>
      <c r="D25" s="16"/>
      <c r="E25" s="41" t="str">
        <f aca="false">IFERROR(IF(AND(LEFT(A25,4)="Bend",B25&gt;0,B25&lt;=180,(IF(D25="",IFERROR(VLOOKUP(A25,Benddata,2,FALSE()),0),D25))&gt;=0.5,AND(Beregning!$B$3="OK",OR(M25=0,M25&gt;=4000))),T25*RADIANS(B25)*(IF(D25="",IFERROR(VLOOKUP(A25,Benddata,2,FALSE()),0),D25))+(0.1+2.4*T25)*SIN(RADIANS(B25)/2)+6.6*T25*(SQRT(SIN(RADIANS(B25)/2))+SIN(RADIANS(B25)/2))/((IF(D25="",IFERROR(VLOOKUP(A25,Benddata,2,FALSE()),0),D25))^(4*RADIANS(B25)/PI())),""),"")</f>
        <v/>
      </c>
      <c r="F25" s="16"/>
      <c r="G25" s="41" t="str">
        <f aca="false">IF(F25&lt;&gt;"",F25,E25)</f>
        <v/>
      </c>
      <c r="H25" s="14" t="str">
        <f aca="false">IFERROR(IF(J25="OK",G25*Beregning!$B$25*(Trykkberegning!$E$12/(IF(L25="",Trykkberegning!$E$12,L25)))^4/1000,""),"")</f>
        <v/>
      </c>
      <c r="I25" s="14" t="str">
        <f aca="false">IF(J25="OK",C25*H25,"")</f>
        <v/>
      </c>
      <c r="J25" s="27" t="str">
        <f aca="false">IFERROR(IF(OR(C25="",C25=0),"Ikke med",IF(OR(NOT(ISNUMBER(IF(L25="",Trykkberegning!$E$12,L25))),IF(L25="",Trykkberegning!$E$12,L25)&lt;=0,Trykkberegning!$E$15&gt;=IF(L25="",Trykkberegning!$E$12,L25)),"FEIL: lokal diameter / ruhet",IF(AND(ABS((IF(L25="",Trykkberegning!$E$12,L25))-Trykkberegning!$E$12)&gt;0.000001,COUNTIFS(Reduksjoner!$B$7:$B$31,1,Reduksjoner!$D$7:$D$31,IF(L25="",Trykkberegning!$E$12,L25))=0),"FEIL: lokal ID mangler i reduksjonskjeden",IFERROR(IF(OR(C25="",C25=0),"Ikke med",IF(OR(NOT(ISNUMBER(C25)),C25&lt;0,C25&lt;&gt;INT(C25)),"FEIL: antall",IF(COUNTIF(Bendtyper,A25)=0,"FEIL: velg type",IF(Beregning!$B$3&lt;&gt;"OK","Venter på inndata",IF(F25&lt;&gt;"",IF(OR(NOT(ISNUMBER(F25)),F25&lt;0),"FEIL: eget K","OK"),IF(LEFT(A25,4)&lt;&gt;"Bend","FEIL: oppgi eget K",IF(OR(NOT(ISNUMBER(B25)),B25&lt;=0,B25&gt;180,(IF(D25="",IFERROR(VLOOKUP(A25,Benddata,2,FALSE()),0),D25))&lt;0.5,NOT(ISNUMBER(IF(D25="",IFERROR(VLOOKUP(A25,Benddata,2,FALSE()),0),D25)))),"FEIL: vinkel eller R/Di",IF(AND(M25&gt;0,M25&lt;4000),"FEIL: eget K ved Re&lt;4000","OK")))))))),"FEIL: kontroller tall")))),"FEIL: lokal diameter")</f>
        <v>Ikke med</v>
      </c>
      <c r="K25" s="16"/>
      <c r="L25" s="16"/>
      <c r="M25" s="27" t="n">
        <f aca="false">IFERROR(Beregning!$B$14*Trykkberegning!$E$12/(IF(L25="",Trykkberegning!$E$12,L25)),"")</f>
        <v>153746.774760133</v>
      </c>
      <c r="N25" s="27" t="n">
        <f aca="false">IFERROR(IF(M25=0,0,IF(M25&lt;2300,64/M25,(-1.8*LOG10(((Trykkberegning!$E$15/(IF(L25="",Trykkberegning!$E$12,L25)))/3.7)^1.11+6.9/M25))^(-2))),"")</f>
        <v>0.0193209862491592</v>
      </c>
      <c r="O25" s="27" t="n">
        <f aca="false">IFERROR(IF(M25=0,0,IF(M25&lt;2300,N25,(-2*LOG10((Trykkberegning!$E$15/(IF(L25="",Trykkberegning!$E$12,L25)))/3.7+2.51/(M25*SQRT(N25))))^(-2))),"")</f>
        <v>0.0195393516631449</v>
      </c>
      <c r="P25" s="27" t="n">
        <f aca="false">IFERROR(IF(M25=0,0,IF(M25&lt;2300,N25,(-2*LOG10((Trykkberegning!$E$15/(IF(L25="",Trykkberegning!$E$12,L25)))/3.7+2.51/(M25*SQRT(O25))))^(-2))),"")</f>
        <v>0.019527552936431</v>
      </c>
      <c r="Q25" s="27" t="n">
        <f aca="false">IFERROR(IF(M25=0,0,IF(M25&lt;2300,N25,(-2*LOG10((Trykkberegning!$E$15/(IF(L25="",Trykkberegning!$E$12,L25)))/3.7+2.51/(M25*SQRT(P25))))^(-2))),"")</f>
        <v>0.0195281858572709</v>
      </c>
      <c r="R25" s="27" t="n">
        <f aca="false">IFERROR(IF(M25=0,0,IF(M25&lt;2300,N25,(-2*LOG10((Trykkberegning!$E$15/(IF(L25="",Trykkberegning!$E$12,L25)))/3.7+2.51/(M25*SQRT(Q25))))^(-2))),"")</f>
        <v>0.0195281518922101</v>
      </c>
      <c r="S25" s="27" t="n">
        <f aca="false">IFERROR(IF(M25=0,0,IF(M25&lt;2300,N25,(-2*LOG10((Trykkberegning!$E$15/(IF(L25="",Trykkberegning!$E$12,L25)))/3.7+2.51/(M25*SQRT(R25))))^(-2))),"")</f>
        <v>0.0195281537148729</v>
      </c>
      <c r="T25" s="27" t="n">
        <f aca="false">IFERROR(IF(M25=0,0,IF(M25&lt;2300,N25,(-2*LOG10((Trykkberegning!$E$15/(IF(L25="",Trykkberegning!$E$12,L25)))/3.7+2.51/(M25*SQRT(S25))))^(-2))),"")</f>
        <v>0.0195281536170635</v>
      </c>
    </row>
    <row r="26" customFormat="false" ht="22.5" hidden="false" customHeight="true" outlineLevel="0" collapsed="false">
      <c r="A26" s="16"/>
      <c r="B26" s="18"/>
      <c r="C26" s="18" t="n">
        <v>0</v>
      </c>
      <c r="D26" s="16"/>
      <c r="E26" s="41" t="str">
        <f aca="false">IFERROR(IF(AND(LEFT(A26,4)="Bend",B26&gt;0,B26&lt;=180,(IF(D26="",IFERROR(VLOOKUP(A26,Benddata,2,FALSE()),0),D26))&gt;=0.5,AND(Beregning!$B$3="OK",OR(M26=0,M26&gt;=4000))),T26*RADIANS(B26)*(IF(D26="",IFERROR(VLOOKUP(A26,Benddata,2,FALSE()),0),D26))+(0.1+2.4*T26)*SIN(RADIANS(B26)/2)+6.6*T26*(SQRT(SIN(RADIANS(B26)/2))+SIN(RADIANS(B26)/2))/((IF(D26="",IFERROR(VLOOKUP(A26,Benddata,2,FALSE()),0),D26))^(4*RADIANS(B26)/PI())),""),"")</f>
        <v/>
      </c>
      <c r="F26" s="16"/>
      <c r="G26" s="41" t="str">
        <f aca="false">IF(F26&lt;&gt;"",F26,E26)</f>
        <v/>
      </c>
      <c r="H26" s="14" t="str">
        <f aca="false">IFERROR(IF(J26="OK",G26*Beregning!$B$25*(Trykkberegning!$E$12/(IF(L26="",Trykkberegning!$E$12,L26)))^4/1000,""),"")</f>
        <v/>
      </c>
      <c r="I26" s="14" t="str">
        <f aca="false">IF(J26="OK",C26*H26,"")</f>
        <v/>
      </c>
      <c r="J26" s="27" t="str">
        <f aca="false">IFERROR(IF(OR(C26="",C26=0),"Ikke med",IF(OR(NOT(ISNUMBER(IF(L26="",Trykkberegning!$E$12,L26))),IF(L26="",Trykkberegning!$E$12,L26)&lt;=0,Trykkberegning!$E$15&gt;=IF(L26="",Trykkberegning!$E$12,L26)),"FEIL: lokal diameter / ruhet",IF(AND(ABS((IF(L26="",Trykkberegning!$E$12,L26))-Trykkberegning!$E$12)&gt;0.000001,COUNTIFS(Reduksjoner!$B$7:$B$31,1,Reduksjoner!$D$7:$D$31,IF(L26="",Trykkberegning!$E$12,L26))=0),"FEIL: lokal ID mangler i reduksjonskjeden",IFERROR(IF(OR(C26="",C26=0),"Ikke med",IF(OR(NOT(ISNUMBER(C26)),C26&lt;0,C26&lt;&gt;INT(C26)),"FEIL: antall",IF(COUNTIF(Bendtyper,A26)=0,"FEIL: velg type",IF(Beregning!$B$3&lt;&gt;"OK","Venter på inndata",IF(F26&lt;&gt;"",IF(OR(NOT(ISNUMBER(F26)),F26&lt;0),"FEIL: eget K","OK"),IF(LEFT(A26,4)&lt;&gt;"Bend","FEIL: oppgi eget K",IF(OR(NOT(ISNUMBER(B26)),B26&lt;=0,B26&gt;180,(IF(D26="",IFERROR(VLOOKUP(A26,Benddata,2,FALSE()),0),D26))&lt;0.5,NOT(ISNUMBER(IF(D26="",IFERROR(VLOOKUP(A26,Benddata,2,FALSE()),0),D26)))),"FEIL: vinkel eller R/Di",IF(AND(M26&gt;0,M26&lt;4000),"FEIL: eget K ved Re&lt;4000","OK")))))))),"FEIL: kontroller tall")))),"FEIL: lokal diameter")</f>
        <v>Ikke med</v>
      </c>
      <c r="K26" s="16"/>
      <c r="L26" s="16"/>
      <c r="M26" s="27" t="n">
        <f aca="false">IFERROR(Beregning!$B$14*Trykkberegning!$E$12/(IF(L26="",Trykkberegning!$E$12,L26)),"")</f>
        <v>153746.774760133</v>
      </c>
      <c r="N26" s="27" t="n">
        <f aca="false">IFERROR(IF(M26=0,0,IF(M26&lt;2300,64/M26,(-1.8*LOG10(((Trykkberegning!$E$15/(IF(L26="",Trykkberegning!$E$12,L26)))/3.7)^1.11+6.9/M26))^(-2))),"")</f>
        <v>0.0193209862491592</v>
      </c>
      <c r="O26" s="27" t="n">
        <f aca="false">IFERROR(IF(M26=0,0,IF(M26&lt;2300,N26,(-2*LOG10((Trykkberegning!$E$15/(IF(L26="",Trykkberegning!$E$12,L26)))/3.7+2.51/(M26*SQRT(N26))))^(-2))),"")</f>
        <v>0.0195393516631449</v>
      </c>
      <c r="P26" s="27" t="n">
        <f aca="false">IFERROR(IF(M26=0,0,IF(M26&lt;2300,N26,(-2*LOG10((Trykkberegning!$E$15/(IF(L26="",Trykkberegning!$E$12,L26)))/3.7+2.51/(M26*SQRT(O26))))^(-2))),"")</f>
        <v>0.019527552936431</v>
      </c>
      <c r="Q26" s="27" t="n">
        <f aca="false">IFERROR(IF(M26=0,0,IF(M26&lt;2300,N26,(-2*LOG10((Trykkberegning!$E$15/(IF(L26="",Trykkberegning!$E$12,L26)))/3.7+2.51/(M26*SQRT(P26))))^(-2))),"")</f>
        <v>0.0195281858572709</v>
      </c>
      <c r="R26" s="27" t="n">
        <f aca="false">IFERROR(IF(M26=0,0,IF(M26&lt;2300,N26,(-2*LOG10((Trykkberegning!$E$15/(IF(L26="",Trykkberegning!$E$12,L26)))/3.7+2.51/(M26*SQRT(Q26))))^(-2))),"")</f>
        <v>0.0195281518922101</v>
      </c>
      <c r="S26" s="27" t="n">
        <f aca="false">IFERROR(IF(M26=0,0,IF(M26&lt;2300,N26,(-2*LOG10((Trykkberegning!$E$15/(IF(L26="",Trykkberegning!$E$12,L26)))/3.7+2.51/(M26*SQRT(R26))))^(-2))),"")</f>
        <v>0.0195281537148729</v>
      </c>
      <c r="T26" s="27" t="n">
        <f aca="false">IFERROR(IF(M26=0,0,IF(M26&lt;2300,N26,(-2*LOG10((Trykkberegning!$E$15/(IF(L26="",Trykkberegning!$E$12,L26)))/3.7+2.51/(M26*SQRT(S26))))^(-2))),"")</f>
        <v>0.0195281536170635</v>
      </c>
    </row>
    <row r="27" customFormat="false" ht="22.5" hidden="false" customHeight="true" outlineLevel="0" collapsed="false">
      <c r="A27" s="16"/>
      <c r="B27" s="18"/>
      <c r="C27" s="18" t="n">
        <v>0</v>
      </c>
      <c r="D27" s="16"/>
      <c r="E27" s="41" t="str">
        <f aca="false">IFERROR(IF(AND(LEFT(A27,4)="Bend",B27&gt;0,B27&lt;=180,(IF(D27="",IFERROR(VLOOKUP(A27,Benddata,2,FALSE()),0),D27))&gt;=0.5,AND(Beregning!$B$3="OK",OR(M27=0,M27&gt;=4000))),T27*RADIANS(B27)*(IF(D27="",IFERROR(VLOOKUP(A27,Benddata,2,FALSE()),0),D27))+(0.1+2.4*T27)*SIN(RADIANS(B27)/2)+6.6*T27*(SQRT(SIN(RADIANS(B27)/2))+SIN(RADIANS(B27)/2))/((IF(D27="",IFERROR(VLOOKUP(A27,Benddata,2,FALSE()),0),D27))^(4*RADIANS(B27)/PI())),""),"")</f>
        <v/>
      </c>
      <c r="F27" s="16"/>
      <c r="G27" s="41" t="str">
        <f aca="false">IF(F27&lt;&gt;"",F27,E27)</f>
        <v/>
      </c>
      <c r="H27" s="14" t="str">
        <f aca="false">IFERROR(IF(J27="OK",G27*Beregning!$B$25*(Trykkberegning!$E$12/(IF(L27="",Trykkberegning!$E$12,L27)))^4/1000,""),"")</f>
        <v/>
      </c>
      <c r="I27" s="14" t="str">
        <f aca="false">IF(J27="OK",C27*H27,"")</f>
        <v/>
      </c>
      <c r="J27" s="27" t="str">
        <f aca="false">IFERROR(IF(OR(C27="",C27=0),"Ikke med",IF(OR(NOT(ISNUMBER(IF(L27="",Trykkberegning!$E$12,L27))),IF(L27="",Trykkberegning!$E$12,L27)&lt;=0,Trykkberegning!$E$15&gt;=IF(L27="",Trykkberegning!$E$12,L27)),"FEIL: lokal diameter / ruhet",IF(AND(ABS((IF(L27="",Trykkberegning!$E$12,L27))-Trykkberegning!$E$12)&gt;0.000001,COUNTIFS(Reduksjoner!$B$7:$B$31,1,Reduksjoner!$D$7:$D$31,IF(L27="",Trykkberegning!$E$12,L27))=0),"FEIL: lokal ID mangler i reduksjonskjeden",IFERROR(IF(OR(C27="",C27=0),"Ikke med",IF(OR(NOT(ISNUMBER(C27)),C27&lt;0,C27&lt;&gt;INT(C27)),"FEIL: antall",IF(COUNTIF(Bendtyper,A27)=0,"FEIL: velg type",IF(Beregning!$B$3&lt;&gt;"OK","Venter på inndata",IF(F27&lt;&gt;"",IF(OR(NOT(ISNUMBER(F27)),F27&lt;0),"FEIL: eget K","OK"),IF(LEFT(A27,4)&lt;&gt;"Bend","FEIL: oppgi eget K",IF(OR(NOT(ISNUMBER(B27)),B27&lt;=0,B27&gt;180,(IF(D27="",IFERROR(VLOOKUP(A27,Benddata,2,FALSE()),0),D27))&lt;0.5,NOT(ISNUMBER(IF(D27="",IFERROR(VLOOKUP(A27,Benddata,2,FALSE()),0),D27)))),"FEIL: vinkel eller R/Di",IF(AND(M27&gt;0,M27&lt;4000),"FEIL: eget K ved Re&lt;4000","OK")))))))),"FEIL: kontroller tall")))),"FEIL: lokal diameter")</f>
        <v>Ikke med</v>
      </c>
      <c r="K27" s="16"/>
      <c r="L27" s="16"/>
      <c r="M27" s="27" t="n">
        <f aca="false">IFERROR(Beregning!$B$14*Trykkberegning!$E$12/(IF(L27="",Trykkberegning!$E$12,L27)),"")</f>
        <v>153746.774760133</v>
      </c>
      <c r="N27" s="27" t="n">
        <f aca="false">IFERROR(IF(M27=0,0,IF(M27&lt;2300,64/M27,(-1.8*LOG10(((Trykkberegning!$E$15/(IF(L27="",Trykkberegning!$E$12,L27)))/3.7)^1.11+6.9/M27))^(-2))),"")</f>
        <v>0.0193209862491592</v>
      </c>
      <c r="O27" s="27" t="n">
        <f aca="false">IFERROR(IF(M27=0,0,IF(M27&lt;2300,N27,(-2*LOG10((Trykkberegning!$E$15/(IF(L27="",Trykkberegning!$E$12,L27)))/3.7+2.51/(M27*SQRT(N27))))^(-2))),"")</f>
        <v>0.0195393516631449</v>
      </c>
      <c r="P27" s="27" t="n">
        <f aca="false">IFERROR(IF(M27=0,0,IF(M27&lt;2300,N27,(-2*LOG10((Trykkberegning!$E$15/(IF(L27="",Trykkberegning!$E$12,L27)))/3.7+2.51/(M27*SQRT(O27))))^(-2))),"")</f>
        <v>0.019527552936431</v>
      </c>
      <c r="Q27" s="27" t="n">
        <f aca="false">IFERROR(IF(M27=0,0,IF(M27&lt;2300,N27,(-2*LOG10((Trykkberegning!$E$15/(IF(L27="",Trykkberegning!$E$12,L27)))/3.7+2.51/(M27*SQRT(P27))))^(-2))),"")</f>
        <v>0.0195281858572709</v>
      </c>
      <c r="R27" s="27" t="n">
        <f aca="false">IFERROR(IF(M27=0,0,IF(M27&lt;2300,N27,(-2*LOG10((Trykkberegning!$E$15/(IF(L27="",Trykkberegning!$E$12,L27)))/3.7+2.51/(M27*SQRT(Q27))))^(-2))),"")</f>
        <v>0.0195281518922101</v>
      </c>
      <c r="S27" s="27" t="n">
        <f aca="false">IFERROR(IF(M27=0,0,IF(M27&lt;2300,N27,(-2*LOG10((Trykkberegning!$E$15/(IF(L27="",Trykkberegning!$E$12,L27)))/3.7+2.51/(M27*SQRT(R27))))^(-2))),"")</f>
        <v>0.0195281537148729</v>
      </c>
      <c r="T27" s="27" t="n">
        <f aca="false">IFERROR(IF(M27=0,0,IF(M27&lt;2300,N27,(-2*LOG10((Trykkberegning!$E$15/(IF(L27="",Trykkberegning!$E$12,L27)))/3.7+2.51/(M27*SQRT(S27))))^(-2))),"")</f>
        <v>0.0195281536170635</v>
      </c>
    </row>
    <row r="28" customFormat="false" ht="22.5" hidden="false" customHeight="true" outlineLevel="0" collapsed="false">
      <c r="A28" s="16"/>
      <c r="B28" s="18"/>
      <c r="C28" s="18" t="n">
        <v>0</v>
      </c>
      <c r="D28" s="16"/>
      <c r="E28" s="41" t="str">
        <f aca="false">IFERROR(IF(AND(LEFT(A28,4)="Bend",B28&gt;0,B28&lt;=180,(IF(D28="",IFERROR(VLOOKUP(A28,Benddata,2,FALSE()),0),D28))&gt;=0.5,AND(Beregning!$B$3="OK",OR(M28=0,M28&gt;=4000))),T28*RADIANS(B28)*(IF(D28="",IFERROR(VLOOKUP(A28,Benddata,2,FALSE()),0),D28))+(0.1+2.4*T28)*SIN(RADIANS(B28)/2)+6.6*T28*(SQRT(SIN(RADIANS(B28)/2))+SIN(RADIANS(B28)/2))/((IF(D28="",IFERROR(VLOOKUP(A28,Benddata,2,FALSE()),0),D28))^(4*RADIANS(B28)/PI())),""),"")</f>
        <v/>
      </c>
      <c r="F28" s="16"/>
      <c r="G28" s="41" t="str">
        <f aca="false">IF(F28&lt;&gt;"",F28,E28)</f>
        <v/>
      </c>
      <c r="H28" s="14" t="str">
        <f aca="false">IFERROR(IF(J28="OK",G28*Beregning!$B$25*(Trykkberegning!$E$12/(IF(L28="",Trykkberegning!$E$12,L28)))^4/1000,""),"")</f>
        <v/>
      </c>
      <c r="I28" s="14" t="str">
        <f aca="false">IF(J28="OK",C28*H28,"")</f>
        <v/>
      </c>
      <c r="J28" s="27" t="str">
        <f aca="false">IFERROR(IF(OR(C28="",C28=0),"Ikke med",IF(OR(NOT(ISNUMBER(IF(L28="",Trykkberegning!$E$12,L28))),IF(L28="",Trykkberegning!$E$12,L28)&lt;=0,Trykkberegning!$E$15&gt;=IF(L28="",Trykkberegning!$E$12,L28)),"FEIL: lokal diameter / ruhet",IF(AND(ABS((IF(L28="",Trykkberegning!$E$12,L28))-Trykkberegning!$E$12)&gt;0.000001,COUNTIFS(Reduksjoner!$B$7:$B$31,1,Reduksjoner!$D$7:$D$31,IF(L28="",Trykkberegning!$E$12,L28))=0),"FEIL: lokal ID mangler i reduksjonskjeden",IFERROR(IF(OR(C28="",C28=0),"Ikke med",IF(OR(NOT(ISNUMBER(C28)),C28&lt;0,C28&lt;&gt;INT(C28)),"FEIL: antall",IF(COUNTIF(Bendtyper,A28)=0,"FEIL: velg type",IF(Beregning!$B$3&lt;&gt;"OK","Venter på inndata",IF(F28&lt;&gt;"",IF(OR(NOT(ISNUMBER(F28)),F28&lt;0),"FEIL: eget K","OK"),IF(LEFT(A28,4)&lt;&gt;"Bend","FEIL: oppgi eget K",IF(OR(NOT(ISNUMBER(B28)),B28&lt;=0,B28&gt;180,(IF(D28="",IFERROR(VLOOKUP(A28,Benddata,2,FALSE()),0),D28))&lt;0.5,NOT(ISNUMBER(IF(D28="",IFERROR(VLOOKUP(A28,Benddata,2,FALSE()),0),D28)))),"FEIL: vinkel eller R/Di",IF(AND(M28&gt;0,M28&lt;4000),"FEIL: eget K ved Re&lt;4000","OK")))))))),"FEIL: kontroller tall")))),"FEIL: lokal diameter")</f>
        <v>Ikke med</v>
      </c>
      <c r="K28" s="16"/>
      <c r="L28" s="16"/>
      <c r="M28" s="27" t="n">
        <f aca="false">IFERROR(Beregning!$B$14*Trykkberegning!$E$12/(IF(L28="",Trykkberegning!$E$12,L28)),"")</f>
        <v>153746.774760133</v>
      </c>
      <c r="N28" s="27" t="n">
        <f aca="false">IFERROR(IF(M28=0,0,IF(M28&lt;2300,64/M28,(-1.8*LOG10(((Trykkberegning!$E$15/(IF(L28="",Trykkberegning!$E$12,L28)))/3.7)^1.11+6.9/M28))^(-2))),"")</f>
        <v>0.0193209862491592</v>
      </c>
      <c r="O28" s="27" t="n">
        <f aca="false">IFERROR(IF(M28=0,0,IF(M28&lt;2300,N28,(-2*LOG10((Trykkberegning!$E$15/(IF(L28="",Trykkberegning!$E$12,L28)))/3.7+2.51/(M28*SQRT(N28))))^(-2))),"")</f>
        <v>0.0195393516631449</v>
      </c>
      <c r="P28" s="27" t="n">
        <f aca="false">IFERROR(IF(M28=0,0,IF(M28&lt;2300,N28,(-2*LOG10((Trykkberegning!$E$15/(IF(L28="",Trykkberegning!$E$12,L28)))/3.7+2.51/(M28*SQRT(O28))))^(-2))),"")</f>
        <v>0.019527552936431</v>
      </c>
      <c r="Q28" s="27" t="n">
        <f aca="false">IFERROR(IF(M28=0,0,IF(M28&lt;2300,N28,(-2*LOG10((Trykkberegning!$E$15/(IF(L28="",Trykkberegning!$E$12,L28)))/3.7+2.51/(M28*SQRT(P28))))^(-2))),"")</f>
        <v>0.0195281858572709</v>
      </c>
      <c r="R28" s="27" t="n">
        <f aca="false">IFERROR(IF(M28=0,0,IF(M28&lt;2300,N28,(-2*LOG10((Trykkberegning!$E$15/(IF(L28="",Trykkberegning!$E$12,L28)))/3.7+2.51/(M28*SQRT(Q28))))^(-2))),"")</f>
        <v>0.0195281518922101</v>
      </c>
      <c r="S28" s="27" t="n">
        <f aca="false">IFERROR(IF(M28=0,0,IF(M28&lt;2300,N28,(-2*LOG10((Trykkberegning!$E$15/(IF(L28="",Trykkberegning!$E$12,L28)))/3.7+2.51/(M28*SQRT(R28))))^(-2))),"")</f>
        <v>0.0195281537148729</v>
      </c>
      <c r="T28" s="27" t="n">
        <f aca="false">IFERROR(IF(M28=0,0,IF(M28&lt;2300,N28,(-2*LOG10((Trykkberegning!$E$15/(IF(L28="",Trykkberegning!$E$12,L28)))/3.7+2.51/(M28*SQRT(S28))))^(-2))),"")</f>
        <v>0.0195281536170635</v>
      </c>
    </row>
    <row r="29" customFormat="false" ht="22.5" hidden="false" customHeight="true" outlineLevel="0" collapsed="false">
      <c r="A29" s="16"/>
      <c r="B29" s="18"/>
      <c r="C29" s="18" t="n">
        <v>0</v>
      </c>
      <c r="D29" s="16"/>
      <c r="E29" s="41" t="str">
        <f aca="false">IFERROR(IF(AND(LEFT(A29,4)="Bend",B29&gt;0,B29&lt;=180,(IF(D29="",IFERROR(VLOOKUP(A29,Benddata,2,FALSE()),0),D29))&gt;=0.5,AND(Beregning!$B$3="OK",OR(M29=0,M29&gt;=4000))),T29*RADIANS(B29)*(IF(D29="",IFERROR(VLOOKUP(A29,Benddata,2,FALSE()),0),D29))+(0.1+2.4*T29)*SIN(RADIANS(B29)/2)+6.6*T29*(SQRT(SIN(RADIANS(B29)/2))+SIN(RADIANS(B29)/2))/((IF(D29="",IFERROR(VLOOKUP(A29,Benddata,2,FALSE()),0),D29))^(4*RADIANS(B29)/PI())),""),"")</f>
        <v/>
      </c>
      <c r="F29" s="16"/>
      <c r="G29" s="41" t="str">
        <f aca="false">IF(F29&lt;&gt;"",F29,E29)</f>
        <v/>
      </c>
      <c r="H29" s="14" t="str">
        <f aca="false">IFERROR(IF(J29="OK",G29*Beregning!$B$25*(Trykkberegning!$E$12/(IF(L29="",Trykkberegning!$E$12,L29)))^4/1000,""),"")</f>
        <v/>
      </c>
      <c r="I29" s="14" t="str">
        <f aca="false">IF(J29="OK",C29*H29,"")</f>
        <v/>
      </c>
      <c r="J29" s="27" t="str">
        <f aca="false">IFERROR(IF(OR(C29="",C29=0),"Ikke med",IF(OR(NOT(ISNUMBER(IF(L29="",Trykkberegning!$E$12,L29))),IF(L29="",Trykkberegning!$E$12,L29)&lt;=0,Trykkberegning!$E$15&gt;=IF(L29="",Trykkberegning!$E$12,L29)),"FEIL: lokal diameter / ruhet",IF(AND(ABS((IF(L29="",Trykkberegning!$E$12,L29))-Trykkberegning!$E$12)&gt;0.000001,COUNTIFS(Reduksjoner!$B$7:$B$31,1,Reduksjoner!$D$7:$D$31,IF(L29="",Trykkberegning!$E$12,L29))=0),"FEIL: lokal ID mangler i reduksjonskjeden",IFERROR(IF(OR(C29="",C29=0),"Ikke med",IF(OR(NOT(ISNUMBER(C29)),C29&lt;0,C29&lt;&gt;INT(C29)),"FEIL: antall",IF(COUNTIF(Bendtyper,A29)=0,"FEIL: velg type",IF(Beregning!$B$3&lt;&gt;"OK","Venter på inndata",IF(F29&lt;&gt;"",IF(OR(NOT(ISNUMBER(F29)),F29&lt;0),"FEIL: eget K","OK"),IF(LEFT(A29,4)&lt;&gt;"Bend","FEIL: oppgi eget K",IF(OR(NOT(ISNUMBER(B29)),B29&lt;=0,B29&gt;180,(IF(D29="",IFERROR(VLOOKUP(A29,Benddata,2,FALSE()),0),D29))&lt;0.5,NOT(ISNUMBER(IF(D29="",IFERROR(VLOOKUP(A29,Benddata,2,FALSE()),0),D29)))),"FEIL: vinkel eller R/Di",IF(AND(M29&gt;0,M29&lt;4000),"FEIL: eget K ved Re&lt;4000","OK")))))))),"FEIL: kontroller tall")))),"FEIL: lokal diameter")</f>
        <v>Ikke med</v>
      </c>
      <c r="K29" s="16"/>
      <c r="L29" s="16"/>
      <c r="M29" s="27" t="n">
        <f aca="false">IFERROR(Beregning!$B$14*Trykkberegning!$E$12/(IF(L29="",Trykkberegning!$E$12,L29)),"")</f>
        <v>153746.774760133</v>
      </c>
      <c r="N29" s="27" t="n">
        <f aca="false">IFERROR(IF(M29=0,0,IF(M29&lt;2300,64/M29,(-1.8*LOG10(((Trykkberegning!$E$15/(IF(L29="",Trykkberegning!$E$12,L29)))/3.7)^1.11+6.9/M29))^(-2))),"")</f>
        <v>0.0193209862491592</v>
      </c>
      <c r="O29" s="27" t="n">
        <f aca="false">IFERROR(IF(M29=0,0,IF(M29&lt;2300,N29,(-2*LOG10((Trykkberegning!$E$15/(IF(L29="",Trykkberegning!$E$12,L29)))/3.7+2.51/(M29*SQRT(N29))))^(-2))),"")</f>
        <v>0.0195393516631449</v>
      </c>
      <c r="P29" s="27" t="n">
        <f aca="false">IFERROR(IF(M29=0,0,IF(M29&lt;2300,N29,(-2*LOG10((Trykkberegning!$E$15/(IF(L29="",Trykkberegning!$E$12,L29)))/3.7+2.51/(M29*SQRT(O29))))^(-2))),"")</f>
        <v>0.019527552936431</v>
      </c>
      <c r="Q29" s="27" t="n">
        <f aca="false">IFERROR(IF(M29=0,0,IF(M29&lt;2300,N29,(-2*LOG10((Trykkberegning!$E$15/(IF(L29="",Trykkberegning!$E$12,L29)))/3.7+2.51/(M29*SQRT(P29))))^(-2))),"")</f>
        <v>0.0195281858572709</v>
      </c>
      <c r="R29" s="27" t="n">
        <f aca="false">IFERROR(IF(M29=0,0,IF(M29&lt;2300,N29,(-2*LOG10((Trykkberegning!$E$15/(IF(L29="",Trykkberegning!$E$12,L29)))/3.7+2.51/(M29*SQRT(Q29))))^(-2))),"")</f>
        <v>0.0195281518922101</v>
      </c>
      <c r="S29" s="27" t="n">
        <f aca="false">IFERROR(IF(M29=0,0,IF(M29&lt;2300,N29,(-2*LOG10((Trykkberegning!$E$15/(IF(L29="",Trykkberegning!$E$12,L29)))/3.7+2.51/(M29*SQRT(R29))))^(-2))),"")</f>
        <v>0.0195281537148729</v>
      </c>
      <c r="T29" s="27" t="n">
        <f aca="false">IFERROR(IF(M29=0,0,IF(M29&lt;2300,N29,(-2*LOG10((Trykkberegning!$E$15/(IF(L29="",Trykkberegning!$E$12,L29)))/3.7+2.51/(M29*SQRT(S29))))^(-2))),"")</f>
        <v>0.0195281536170635</v>
      </c>
    </row>
    <row r="30" customFormat="false" ht="22.5" hidden="false" customHeight="true" outlineLevel="0" collapsed="false">
      <c r="A30" s="16"/>
      <c r="B30" s="18"/>
      <c r="C30" s="18" t="n">
        <v>0</v>
      </c>
      <c r="D30" s="16"/>
      <c r="E30" s="41" t="str">
        <f aca="false">IFERROR(IF(AND(LEFT(A30,4)="Bend",B30&gt;0,B30&lt;=180,(IF(D30="",IFERROR(VLOOKUP(A30,Benddata,2,FALSE()),0),D30))&gt;=0.5,AND(Beregning!$B$3="OK",OR(M30=0,M30&gt;=4000))),T30*RADIANS(B30)*(IF(D30="",IFERROR(VLOOKUP(A30,Benddata,2,FALSE()),0),D30))+(0.1+2.4*T30)*SIN(RADIANS(B30)/2)+6.6*T30*(SQRT(SIN(RADIANS(B30)/2))+SIN(RADIANS(B30)/2))/((IF(D30="",IFERROR(VLOOKUP(A30,Benddata,2,FALSE()),0),D30))^(4*RADIANS(B30)/PI())),""),"")</f>
        <v/>
      </c>
      <c r="F30" s="16"/>
      <c r="G30" s="41" t="str">
        <f aca="false">IF(F30&lt;&gt;"",F30,E30)</f>
        <v/>
      </c>
      <c r="H30" s="14" t="str">
        <f aca="false">IFERROR(IF(J30="OK",G30*Beregning!$B$25*(Trykkberegning!$E$12/(IF(L30="",Trykkberegning!$E$12,L30)))^4/1000,""),"")</f>
        <v/>
      </c>
      <c r="I30" s="14" t="str">
        <f aca="false">IF(J30="OK",C30*H30,"")</f>
        <v/>
      </c>
      <c r="J30" s="27" t="str">
        <f aca="false">IFERROR(IF(OR(C30="",C30=0),"Ikke med",IF(OR(NOT(ISNUMBER(IF(L30="",Trykkberegning!$E$12,L30))),IF(L30="",Trykkberegning!$E$12,L30)&lt;=0,Trykkberegning!$E$15&gt;=IF(L30="",Trykkberegning!$E$12,L30)),"FEIL: lokal diameter / ruhet",IF(AND(ABS((IF(L30="",Trykkberegning!$E$12,L30))-Trykkberegning!$E$12)&gt;0.000001,COUNTIFS(Reduksjoner!$B$7:$B$31,1,Reduksjoner!$D$7:$D$31,IF(L30="",Trykkberegning!$E$12,L30))=0),"FEIL: lokal ID mangler i reduksjonskjeden",IFERROR(IF(OR(C30="",C30=0),"Ikke med",IF(OR(NOT(ISNUMBER(C30)),C30&lt;0,C30&lt;&gt;INT(C30)),"FEIL: antall",IF(COUNTIF(Bendtyper,A30)=0,"FEIL: velg type",IF(Beregning!$B$3&lt;&gt;"OK","Venter på inndata",IF(F30&lt;&gt;"",IF(OR(NOT(ISNUMBER(F30)),F30&lt;0),"FEIL: eget K","OK"),IF(LEFT(A30,4)&lt;&gt;"Bend","FEIL: oppgi eget K",IF(OR(NOT(ISNUMBER(B30)),B30&lt;=0,B30&gt;180,(IF(D30="",IFERROR(VLOOKUP(A30,Benddata,2,FALSE()),0),D30))&lt;0.5,NOT(ISNUMBER(IF(D30="",IFERROR(VLOOKUP(A30,Benddata,2,FALSE()),0),D30)))),"FEIL: vinkel eller R/Di",IF(AND(M30&gt;0,M30&lt;4000),"FEIL: eget K ved Re&lt;4000","OK")))))))),"FEIL: kontroller tall")))),"FEIL: lokal diameter")</f>
        <v>Ikke med</v>
      </c>
      <c r="K30" s="16"/>
      <c r="L30" s="16"/>
      <c r="M30" s="27" t="n">
        <f aca="false">IFERROR(Beregning!$B$14*Trykkberegning!$E$12/(IF(L30="",Trykkberegning!$E$12,L30)),"")</f>
        <v>153746.774760133</v>
      </c>
      <c r="N30" s="27" t="n">
        <f aca="false">IFERROR(IF(M30=0,0,IF(M30&lt;2300,64/M30,(-1.8*LOG10(((Trykkberegning!$E$15/(IF(L30="",Trykkberegning!$E$12,L30)))/3.7)^1.11+6.9/M30))^(-2))),"")</f>
        <v>0.0193209862491592</v>
      </c>
      <c r="O30" s="27" t="n">
        <f aca="false">IFERROR(IF(M30=0,0,IF(M30&lt;2300,N30,(-2*LOG10((Trykkberegning!$E$15/(IF(L30="",Trykkberegning!$E$12,L30)))/3.7+2.51/(M30*SQRT(N30))))^(-2))),"")</f>
        <v>0.0195393516631449</v>
      </c>
      <c r="P30" s="27" t="n">
        <f aca="false">IFERROR(IF(M30=0,0,IF(M30&lt;2300,N30,(-2*LOG10((Trykkberegning!$E$15/(IF(L30="",Trykkberegning!$E$12,L30)))/3.7+2.51/(M30*SQRT(O30))))^(-2))),"")</f>
        <v>0.019527552936431</v>
      </c>
      <c r="Q30" s="27" t="n">
        <f aca="false">IFERROR(IF(M30=0,0,IF(M30&lt;2300,N30,(-2*LOG10((Trykkberegning!$E$15/(IF(L30="",Trykkberegning!$E$12,L30)))/3.7+2.51/(M30*SQRT(P30))))^(-2))),"")</f>
        <v>0.0195281858572709</v>
      </c>
      <c r="R30" s="27" t="n">
        <f aca="false">IFERROR(IF(M30=0,0,IF(M30&lt;2300,N30,(-2*LOG10((Trykkberegning!$E$15/(IF(L30="",Trykkberegning!$E$12,L30)))/3.7+2.51/(M30*SQRT(Q30))))^(-2))),"")</f>
        <v>0.0195281518922101</v>
      </c>
      <c r="S30" s="27" t="n">
        <f aca="false">IFERROR(IF(M30=0,0,IF(M30&lt;2300,N30,(-2*LOG10((Trykkberegning!$E$15/(IF(L30="",Trykkberegning!$E$12,L30)))/3.7+2.51/(M30*SQRT(R30))))^(-2))),"")</f>
        <v>0.0195281537148729</v>
      </c>
      <c r="T30" s="27" t="n">
        <f aca="false">IFERROR(IF(M30=0,0,IF(M30&lt;2300,N30,(-2*LOG10((Trykkberegning!$E$15/(IF(L30="",Trykkberegning!$E$12,L30)))/3.7+2.51/(M30*SQRT(S30))))^(-2))),"")</f>
        <v>0.0195281536170635</v>
      </c>
    </row>
    <row r="31" customFormat="false" ht="22.5" hidden="false" customHeight="true" outlineLevel="0" collapsed="false">
      <c r="A31" s="16"/>
      <c r="B31" s="18"/>
      <c r="C31" s="18" t="n">
        <v>0</v>
      </c>
      <c r="D31" s="16"/>
      <c r="E31" s="41" t="str">
        <f aca="false">IFERROR(IF(AND(LEFT(A31,4)="Bend",B31&gt;0,B31&lt;=180,(IF(D31="",IFERROR(VLOOKUP(A31,Benddata,2,FALSE()),0),D31))&gt;=0.5,AND(Beregning!$B$3="OK",OR(M31=0,M31&gt;=4000))),T31*RADIANS(B31)*(IF(D31="",IFERROR(VLOOKUP(A31,Benddata,2,FALSE()),0),D31))+(0.1+2.4*T31)*SIN(RADIANS(B31)/2)+6.6*T31*(SQRT(SIN(RADIANS(B31)/2))+SIN(RADIANS(B31)/2))/((IF(D31="",IFERROR(VLOOKUP(A31,Benddata,2,FALSE()),0),D31))^(4*RADIANS(B31)/PI())),""),"")</f>
        <v/>
      </c>
      <c r="F31" s="16"/>
      <c r="G31" s="41" t="str">
        <f aca="false">IF(F31&lt;&gt;"",F31,E31)</f>
        <v/>
      </c>
      <c r="H31" s="14" t="str">
        <f aca="false">IFERROR(IF(J31="OK",G31*Beregning!$B$25*(Trykkberegning!$E$12/(IF(L31="",Trykkberegning!$E$12,L31)))^4/1000,""),"")</f>
        <v/>
      </c>
      <c r="I31" s="14" t="str">
        <f aca="false">IF(J31="OK",C31*H31,"")</f>
        <v/>
      </c>
      <c r="J31" s="27" t="str">
        <f aca="false">IFERROR(IF(OR(C31="",C31=0),"Ikke med",IF(OR(NOT(ISNUMBER(IF(L31="",Trykkberegning!$E$12,L31))),IF(L31="",Trykkberegning!$E$12,L31)&lt;=0,Trykkberegning!$E$15&gt;=IF(L31="",Trykkberegning!$E$12,L31)),"FEIL: lokal diameter / ruhet",IF(AND(ABS((IF(L31="",Trykkberegning!$E$12,L31))-Trykkberegning!$E$12)&gt;0.000001,COUNTIFS(Reduksjoner!$B$7:$B$31,1,Reduksjoner!$D$7:$D$31,IF(L31="",Trykkberegning!$E$12,L31))=0),"FEIL: lokal ID mangler i reduksjonskjeden",IFERROR(IF(OR(C31="",C31=0),"Ikke med",IF(OR(NOT(ISNUMBER(C31)),C31&lt;0,C31&lt;&gt;INT(C31)),"FEIL: antall",IF(COUNTIF(Bendtyper,A31)=0,"FEIL: velg type",IF(Beregning!$B$3&lt;&gt;"OK","Venter på inndata",IF(F31&lt;&gt;"",IF(OR(NOT(ISNUMBER(F31)),F31&lt;0),"FEIL: eget K","OK"),IF(LEFT(A31,4)&lt;&gt;"Bend","FEIL: oppgi eget K",IF(OR(NOT(ISNUMBER(B31)),B31&lt;=0,B31&gt;180,(IF(D31="",IFERROR(VLOOKUP(A31,Benddata,2,FALSE()),0),D31))&lt;0.5,NOT(ISNUMBER(IF(D31="",IFERROR(VLOOKUP(A31,Benddata,2,FALSE()),0),D31)))),"FEIL: vinkel eller R/Di",IF(AND(M31&gt;0,M31&lt;4000),"FEIL: eget K ved Re&lt;4000","OK")))))))),"FEIL: kontroller tall")))),"FEIL: lokal diameter")</f>
        <v>Ikke med</v>
      </c>
      <c r="K31" s="16"/>
      <c r="L31" s="16"/>
      <c r="M31" s="27" t="n">
        <f aca="false">IFERROR(Beregning!$B$14*Trykkberegning!$E$12/(IF(L31="",Trykkberegning!$E$12,L31)),"")</f>
        <v>153746.774760133</v>
      </c>
      <c r="N31" s="27" t="n">
        <f aca="false">IFERROR(IF(M31=0,0,IF(M31&lt;2300,64/M31,(-1.8*LOG10(((Trykkberegning!$E$15/(IF(L31="",Trykkberegning!$E$12,L31)))/3.7)^1.11+6.9/M31))^(-2))),"")</f>
        <v>0.0193209862491592</v>
      </c>
      <c r="O31" s="27" t="n">
        <f aca="false">IFERROR(IF(M31=0,0,IF(M31&lt;2300,N31,(-2*LOG10((Trykkberegning!$E$15/(IF(L31="",Trykkberegning!$E$12,L31)))/3.7+2.51/(M31*SQRT(N31))))^(-2))),"")</f>
        <v>0.0195393516631449</v>
      </c>
      <c r="P31" s="27" t="n">
        <f aca="false">IFERROR(IF(M31=0,0,IF(M31&lt;2300,N31,(-2*LOG10((Trykkberegning!$E$15/(IF(L31="",Trykkberegning!$E$12,L31)))/3.7+2.51/(M31*SQRT(O31))))^(-2))),"")</f>
        <v>0.019527552936431</v>
      </c>
      <c r="Q31" s="27" t="n">
        <f aca="false">IFERROR(IF(M31=0,0,IF(M31&lt;2300,N31,(-2*LOG10((Trykkberegning!$E$15/(IF(L31="",Trykkberegning!$E$12,L31)))/3.7+2.51/(M31*SQRT(P31))))^(-2))),"")</f>
        <v>0.0195281858572709</v>
      </c>
      <c r="R31" s="27" t="n">
        <f aca="false">IFERROR(IF(M31=0,0,IF(M31&lt;2300,N31,(-2*LOG10((Trykkberegning!$E$15/(IF(L31="",Trykkberegning!$E$12,L31)))/3.7+2.51/(M31*SQRT(Q31))))^(-2))),"")</f>
        <v>0.0195281518922101</v>
      </c>
      <c r="S31" s="27" t="n">
        <f aca="false">IFERROR(IF(M31=0,0,IF(M31&lt;2300,N31,(-2*LOG10((Trykkberegning!$E$15/(IF(L31="",Trykkberegning!$E$12,L31)))/3.7+2.51/(M31*SQRT(R31))))^(-2))),"")</f>
        <v>0.0195281537148729</v>
      </c>
      <c r="T31" s="27" t="n">
        <f aca="false">IFERROR(IF(M31=0,0,IF(M31&lt;2300,N31,(-2*LOG10((Trykkberegning!$E$15/(IF(L31="",Trykkberegning!$E$12,L31)))/3.7+2.51/(M31*SQRT(S31))))^(-2))),"")</f>
        <v>0.0195281536170635</v>
      </c>
    </row>
    <row r="32" customFormat="false" ht="22.5" hidden="false" customHeight="true" outlineLevel="0" collapsed="false"/>
    <row r="33" customFormat="false" ht="22.5" hidden="false" customHeight="true" outlineLevel="0" collapsed="false">
      <c r="A33" s="24" t="s">
        <v>159</v>
      </c>
      <c r="B33" s="24"/>
      <c r="C33" s="24"/>
      <c r="D33" s="24"/>
      <c r="E33" s="24"/>
      <c r="F33" s="24"/>
      <c r="G33" s="24"/>
      <c r="H33" s="24"/>
      <c r="I33" s="39" t="n">
        <f aca="false">SUM(I7:I31)</f>
        <v>2.24374066707196</v>
      </c>
    </row>
    <row r="34" customFormat="false" ht="22.5" hidden="false" customHeight="true" outlineLevel="0" collapsed="false"/>
    <row r="35" customFormat="false" ht="22.5" hidden="false" customHeight="true" outlineLevel="0" collapsed="false">
      <c r="A35" s="26" t="s">
        <v>160</v>
      </c>
      <c r="B35" s="26"/>
      <c r="C35" s="26"/>
      <c r="D35" s="26"/>
      <c r="E35" s="26"/>
      <c r="F35" s="26"/>
      <c r="G35" s="26"/>
      <c r="H35" s="26"/>
      <c r="I35" s="26"/>
      <c r="J35" s="26"/>
      <c r="K35" s="26"/>
    </row>
    <row r="36" customFormat="false" ht="22.5" hidden="false" customHeight="true" outlineLevel="0" collapsed="false">
      <c r="A36" s="26"/>
      <c r="B36" s="26"/>
      <c r="C36" s="26"/>
      <c r="D36" s="26"/>
      <c r="E36" s="26"/>
      <c r="F36" s="26"/>
      <c r="G36" s="26"/>
      <c r="H36" s="26"/>
      <c r="I36" s="26"/>
      <c r="J36" s="26"/>
      <c r="K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K31"/>
  <mergeCells count="6">
    <mergeCell ref="A1:K2"/>
    <mergeCell ref="A3:K3"/>
    <mergeCell ref="A4:K4"/>
    <mergeCell ref="A5:K5"/>
    <mergeCell ref="A33:H33"/>
    <mergeCell ref="A35:K36"/>
  </mergeCells>
  <conditionalFormatting sqref="J7:J31">
    <cfRule type="expression" priority="2" aboveAverage="0" equalAverage="0" bottom="0" percent="0" rank="0" text="" dxfId="0">
      <formula>LEFT(J7,4)="FEIL"</formula>
    </cfRule>
  </conditionalFormatting>
  <dataValidations xmlns="http://schemas.openxmlformats.org/spreadsheetml/2006/main" count="6">
    <dataValidation sqref="A7:A31" showDropDown="0" showInputMessage="1" showErrorMessage="1" allowBlank="1" errorTitle="Ugyldig valg" error="Velg fra listen, eller bruk et felt for egne verdier." promptTitle="Velg verdi" prompt="Bruk nedtrekkslisten. Blå felt kan redigeres." type="list">
      <formula1>Bendtyper</formula1>
    </dataValidation>
    <dataValidation sqref="B7:B31" showDropDown="0" showInputMessage="0" showErrorMessage="1" allowBlank="1" errorTitle="Ugyldig tall" error="Oppgi et tall mellom 0 og 180." type="decimal" operator="between">
      <formula1>0</formula1>
      <formula2>180</formula2>
    </dataValidation>
    <dataValidation sqref="C7:C31" showDropDown="0" showInputMessage="0" showErrorMessage="1" allowBlank="1" errorTitle="Ugyldig tall" error="Oppgi et heltall mellom 0 og 100000." type="whole" operator="between">
      <formula1>0</formula1>
      <formula2>100000</formula2>
    </dataValidation>
    <dataValidation sqref="D7:D31" showDropDown="0" showInputMessage="0" showErrorMessage="1" allowBlank="1" errorTitle="Ugyldig tall" error="Oppgi et tall mellom 0.5 og 1000." type="decimal" operator="between">
      <formula1>0.5</formula1>
      <formula2>1000</formula2>
    </dataValidation>
    <dataValidation sqref="F7:F31" showDropDown="0" showInputMessage="0" showErrorMessage="1" allowBlank="1" errorTitle="Ugyldig tall" error="Oppgi et tall mellom 0 og 1000000000.0." type="decimal" operator="between">
      <formula1>0</formula1>
      <formula2>1000000000.0</formula2>
    </dataValidation>
    <dataValidation sqref="L7:L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M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2"/>
    <col collapsed="false" customWidth="true" hidden="false" outlineLevel="0" max="4" min="3" style="0" width="24"/>
    <col collapsed="false" customWidth="true" hidden="false" outlineLevel="0" max="5" min="5" style="0" width="65"/>
    <col collapsed="false" customWidth="true" hidden="false" outlineLevel="0" max="6" min="6" style="0" width="34"/>
    <col collapsed="false" customWidth="true" hidden="false" outlineLevel="0" max="7" min="7" style="0" width="14"/>
    <col collapsed="false" customWidth="true" hidden="false" outlineLevel="0" max="9" min="8" style="0" width="18"/>
    <col collapsed="false" customWidth="true" hidden="false" outlineLevel="0" max="10" min="10" style="0" width="20"/>
    <col collapsed="false" customWidth="true" hidden="false" outlineLevel="0" max="11" min="11" style="0" width="65"/>
    <col collapsed="false" customWidth="true" hidden="false" outlineLevel="0" max="12" min="12" style="0" width="25"/>
    <col collapsed="false" customWidth="true" hidden="false" outlineLevel="0" max="13" min="13" style="0" width="23"/>
  </cols>
  <sheetData>
    <row r="1" customFormat="false" ht="22.5" hidden="false" customHeight="true" outlineLevel="0" collapsed="false">
      <c r="A1" s="1" t="s">
        <v>161</v>
      </c>
      <c r="B1" s="1"/>
      <c r="C1" s="1"/>
      <c r="D1" s="1"/>
      <c r="E1" s="1"/>
      <c r="F1" s="1"/>
      <c r="G1" s="1"/>
      <c r="H1" s="1"/>
      <c r="I1" s="1"/>
      <c r="J1" s="1"/>
      <c r="K1" s="1"/>
      <c r="L1" s="1"/>
      <c r="M1" s="1"/>
    </row>
    <row r="2" customFormat="false" ht="22.5" hidden="false" customHeight="true" outlineLevel="0" collapsed="false">
      <c r="A2" s="1"/>
      <c r="B2" s="1"/>
      <c r="C2" s="1"/>
      <c r="D2" s="1"/>
      <c r="E2" s="1"/>
      <c r="F2" s="1"/>
      <c r="G2" s="1"/>
      <c r="H2" s="1"/>
      <c r="I2" s="1"/>
      <c r="J2" s="1"/>
      <c r="K2" s="1"/>
      <c r="L2" s="1"/>
      <c r="M2" s="1"/>
    </row>
    <row r="3" customFormat="false" ht="22.5" hidden="false" customHeight="true" outlineLevel="0" collapsed="false">
      <c r="A3" s="2" t="s">
        <v>162</v>
      </c>
      <c r="B3" s="2"/>
      <c r="C3" s="2"/>
      <c r="D3" s="2"/>
      <c r="E3" s="2"/>
      <c r="F3" s="2"/>
    </row>
    <row r="4" customFormat="false" ht="22.5" hidden="false" customHeight="true" outlineLevel="0" collapsed="false">
      <c r="A4" s="36" t="s">
        <v>163</v>
      </c>
      <c r="B4" s="36"/>
      <c r="C4" s="36"/>
      <c r="D4" s="36"/>
      <c r="E4" s="36"/>
      <c r="F4" s="36"/>
      <c r="G4" s="36"/>
      <c r="H4" s="36"/>
      <c r="I4" s="36"/>
      <c r="J4" s="36"/>
      <c r="K4" s="36"/>
      <c r="L4" s="36"/>
      <c r="M4" s="36"/>
    </row>
    <row r="5" customFormat="false" ht="22.5" hidden="false" customHeight="true" outlineLevel="0" collapsed="false">
      <c r="A5" s="37" t="s">
        <v>164</v>
      </c>
      <c r="B5" s="37"/>
      <c r="C5" s="37"/>
      <c r="D5" s="37"/>
      <c r="E5" s="37"/>
      <c r="F5" s="37"/>
      <c r="G5" s="37"/>
      <c r="H5" s="37"/>
      <c r="I5" s="37"/>
      <c r="J5" s="37"/>
      <c r="K5" s="37"/>
      <c r="L5" s="37"/>
      <c r="M5" s="37"/>
    </row>
    <row r="6" customFormat="false" ht="36" hidden="false" customHeight="true" outlineLevel="0" collapsed="false">
      <c r="A6" s="27" t="s">
        <v>165</v>
      </c>
      <c r="B6" s="27" t="s">
        <v>148</v>
      </c>
      <c r="C6" s="27" t="s">
        <v>152</v>
      </c>
      <c r="D6" s="27" t="s">
        <v>153</v>
      </c>
      <c r="E6" s="27" t="s">
        <v>123</v>
      </c>
      <c r="F6" s="27" t="s">
        <v>122</v>
      </c>
      <c r="G6" s="27" t="s">
        <v>166</v>
      </c>
      <c r="H6" s="27" t="s">
        <v>167</v>
      </c>
      <c r="I6" s="27" t="s">
        <v>168</v>
      </c>
      <c r="J6" s="27" t="s">
        <v>169</v>
      </c>
      <c r="K6" s="27" t="s">
        <v>170</v>
      </c>
      <c r="L6" s="27" t="s">
        <v>171</v>
      </c>
      <c r="M6" s="27" t="s">
        <v>172</v>
      </c>
    </row>
    <row r="7" customFormat="false" ht="22.5" hidden="false" customHeight="true" outlineLevel="0" collapsed="false">
      <c r="A7" s="6" t="s">
        <v>173</v>
      </c>
      <c r="B7" s="18" t="n">
        <v>0</v>
      </c>
      <c r="C7" s="16"/>
      <c r="D7" s="14" t="str">
        <f aca="false">IFERROR(IF(F7="OK",B7*J7,""),"")</f>
        <v/>
      </c>
      <c r="E7" s="6"/>
      <c r="F7" s="27" t="str">
        <f aca="false">IFERROR(IF(OR(B7="",B7=0),"Ikke med",IF(OR(NOT(ISNUMBER(B7)),B7&lt;0,B7&lt;&gt;INT(B7)),"FEIL: antall",IF(A7="","FEIL: angi ventil",IF(AND(C7&lt;&gt;"",OR(NOT(ISNUMBER(C7)),C7&lt;0)),"FEIL: trykkfall",IF(AND(C7="",OR(NOT(ISNUMBER(H7)),H7&lt;=0,G7="",NOT(ISNUMBER(I7)),I7&lt;=0,I7&gt;100,E7="",M7&lt;&gt;"Ja")),"FEIL: dokumenter Kv, DN, åpning og medium","OK"))))),"FEIL: kontroller tall")</f>
        <v>Ikke med</v>
      </c>
      <c r="G7" s="16"/>
      <c r="H7" s="16"/>
      <c r="I7" s="16" t="n">
        <v>100</v>
      </c>
      <c r="J7" s="14" t="str">
        <f aca="false">IFERROR(IF(C7&lt;&gt;"",C7,IF(AND(H7&gt;0,ISNUMBER(H7)),100*(Beregning!$B$10/1000)*(Trykkberegning!$E$25/H7)^2,"")),"")</f>
        <v/>
      </c>
      <c r="K7" s="27" t="n">
        <f aca="false">IFERROR(VLOOKUP(A7,Ventiloppslag,4,FALSE()),"")</f>
        <v>0</v>
      </c>
      <c r="L7" s="27" t="str">
        <f aca="false">IF(C7&lt;&gt;"","Eget trykkfall","Kv ved angitt åpning")</f>
        <v>Kv ved angitt åpning</v>
      </c>
      <c r="M7" s="16" t="s">
        <v>90</v>
      </c>
    </row>
    <row r="8" customFormat="false" ht="22.5" hidden="false" customHeight="true" outlineLevel="0" collapsed="false">
      <c r="A8" s="6" t="s">
        <v>174</v>
      </c>
      <c r="B8" s="18" t="n">
        <v>0</v>
      </c>
      <c r="C8" s="16"/>
      <c r="D8" s="14" t="str">
        <f aca="false">IFERROR(IF(F8="OK",B8*J8,""),"")</f>
        <v/>
      </c>
      <c r="E8" s="6"/>
      <c r="F8" s="27" t="str">
        <f aca="false">IFERROR(IF(OR(B8="",B8=0),"Ikke med",IF(OR(NOT(ISNUMBER(B8)),B8&lt;0,B8&lt;&gt;INT(B8)),"FEIL: antall",IF(A8="","FEIL: angi ventil",IF(AND(C8&lt;&gt;"",OR(NOT(ISNUMBER(C8)),C8&lt;0)),"FEIL: trykkfall",IF(AND(C8="",OR(NOT(ISNUMBER(H8)),H8&lt;=0,G8="",NOT(ISNUMBER(I8)),I8&lt;=0,I8&gt;100,E8="",M8&lt;&gt;"Ja")),"FEIL: dokumenter Kv, DN, åpning og medium","OK"))))),"FEIL: kontroller tall")</f>
        <v>Ikke med</v>
      </c>
      <c r="G8" s="16"/>
      <c r="H8" s="16"/>
      <c r="I8" s="16" t="n">
        <v>100</v>
      </c>
      <c r="J8" s="14" t="str">
        <f aca="false">IFERROR(IF(C8&lt;&gt;"",C8,IF(AND(H8&gt;0,ISNUMBER(H8)),100*(Beregning!$B$10/1000)*(Trykkberegning!$E$25/H8)^2,"")),"")</f>
        <v/>
      </c>
      <c r="K8" s="27" t="n">
        <f aca="false">IFERROR(VLOOKUP(A8,Ventiloppslag,4,FALSE()),"")</f>
        <v>0</v>
      </c>
      <c r="L8" s="27" t="str">
        <f aca="false">IF(C8&lt;&gt;"","Eget trykkfall","Kv ved angitt åpning")</f>
        <v>Kv ved angitt åpning</v>
      </c>
      <c r="M8" s="16" t="s">
        <v>90</v>
      </c>
    </row>
    <row r="9" customFormat="false" ht="22.5" hidden="false" customHeight="true" outlineLevel="0" collapsed="false">
      <c r="A9" s="6" t="s">
        <v>175</v>
      </c>
      <c r="B9" s="18" t="n">
        <v>0</v>
      </c>
      <c r="C9" s="16"/>
      <c r="D9" s="14" t="str">
        <f aca="false">IFERROR(IF(F9="OK",B9*J9,""),"")</f>
        <v/>
      </c>
      <c r="E9" s="6"/>
      <c r="F9" s="27" t="str">
        <f aca="false">IFERROR(IF(OR(B9="",B9=0),"Ikke med",IF(OR(NOT(ISNUMBER(B9)),B9&lt;0,B9&lt;&gt;INT(B9)),"FEIL: antall",IF(A9="","FEIL: angi ventil",IF(AND(C9&lt;&gt;"",OR(NOT(ISNUMBER(C9)),C9&lt;0)),"FEIL: trykkfall",IF(AND(C9="",OR(NOT(ISNUMBER(H9)),H9&lt;=0,G9="",NOT(ISNUMBER(I9)),I9&lt;=0,I9&gt;100,E9="",M9&lt;&gt;"Ja")),"FEIL: dokumenter Kv, DN, åpning og medium","OK"))))),"FEIL: kontroller tall")</f>
        <v>Ikke med</v>
      </c>
      <c r="G9" s="16"/>
      <c r="H9" s="16"/>
      <c r="I9" s="16" t="n">
        <v>100</v>
      </c>
      <c r="J9" s="14" t="str">
        <f aca="false">IFERROR(IF(C9&lt;&gt;"",C9,IF(AND(H9&gt;0,ISNUMBER(H9)),100*(Beregning!$B$10/1000)*(Trykkberegning!$E$25/H9)^2,"")),"")</f>
        <v/>
      </c>
      <c r="K9" s="27" t="n">
        <f aca="false">IFERROR(VLOOKUP(A9,Ventiloppslag,4,FALSE()),"")</f>
        <v>0</v>
      </c>
      <c r="L9" s="27" t="str">
        <f aca="false">IF(C9&lt;&gt;"","Eget trykkfall","Kv ved angitt åpning")</f>
        <v>Kv ved angitt åpning</v>
      </c>
      <c r="M9" s="16" t="s">
        <v>90</v>
      </c>
    </row>
    <row r="10" customFormat="false" ht="22.5" hidden="false" customHeight="true" outlineLevel="0" collapsed="false">
      <c r="A10" s="6" t="s">
        <v>176</v>
      </c>
      <c r="B10" s="18" t="n">
        <v>0</v>
      </c>
      <c r="C10" s="16"/>
      <c r="D10" s="14" t="str">
        <f aca="false">IFERROR(IF(F10="OK",B10*J10,""),"")</f>
        <v/>
      </c>
      <c r="E10" s="6"/>
      <c r="F10" s="27" t="str">
        <f aca="false">IFERROR(IF(OR(B10="",B10=0),"Ikke med",IF(OR(NOT(ISNUMBER(B10)),B10&lt;0,B10&lt;&gt;INT(B10)),"FEIL: antall",IF(A10="","FEIL: angi ventil",IF(AND(C10&lt;&gt;"",OR(NOT(ISNUMBER(C10)),C10&lt;0)),"FEIL: trykkfall",IF(AND(C10="",OR(NOT(ISNUMBER(H10)),H10&lt;=0,G10="",NOT(ISNUMBER(I10)),I10&lt;=0,I10&gt;100,E10="",M10&lt;&gt;"Ja")),"FEIL: dokumenter Kv, DN, åpning og medium","OK"))))),"FEIL: kontroller tall")</f>
        <v>Ikke med</v>
      </c>
      <c r="G10" s="16"/>
      <c r="H10" s="16"/>
      <c r="I10" s="16" t="n">
        <v>100</v>
      </c>
      <c r="J10" s="14" t="str">
        <f aca="false">IFERROR(IF(C10&lt;&gt;"",C10,IF(AND(H10&gt;0,ISNUMBER(H10)),100*(Beregning!$B$10/1000)*(Trykkberegning!$E$25/H10)^2,"")),"")</f>
        <v/>
      </c>
      <c r="K10" s="27" t="n">
        <f aca="false">IFERROR(VLOOKUP(A10,Ventiloppslag,4,FALSE()),"")</f>
        <v>0</v>
      </c>
      <c r="L10" s="27" t="str">
        <f aca="false">IF(C10&lt;&gt;"","Eget trykkfall","Kv ved angitt åpning")</f>
        <v>Kv ved angitt åpning</v>
      </c>
      <c r="M10" s="16" t="s">
        <v>90</v>
      </c>
    </row>
    <row r="11" customFormat="false" ht="22.5" hidden="false" customHeight="true" outlineLevel="0" collapsed="false">
      <c r="A11" s="6" t="s">
        <v>177</v>
      </c>
      <c r="B11" s="18" t="n">
        <v>0</v>
      </c>
      <c r="C11" s="16"/>
      <c r="D11" s="14" t="str">
        <f aca="false">IFERROR(IF(F11="OK",B11*J11,""),"")</f>
        <v/>
      </c>
      <c r="E11" s="6"/>
      <c r="F11" s="27" t="str">
        <f aca="false">IFERROR(IF(OR(B11="",B11=0),"Ikke med",IF(OR(NOT(ISNUMBER(B11)),B11&lt;0,B11&lt;&gt;INT(B11)),"FEIL: antall",IF(A11="","FEIL: angi ventil",IF(AND(C11&lt;&gt;"",OR(NOT(ISNUMBER(C11)),C11&lt;0)),"FEIL: trykkfall",IF(AND(C11="",OR(NOT(ISNUMBER(H11)),H11&lt;=0,G11="",NOT(ISNUMBER(I11)),I11&lt;=0,I11&gt;100,E11="",M11&lt;&gt;"Ja")),"FEIL: dokumenter Kv, DN, åpning og medium","OK"))))),"FEIL: kontroller tall")</f>
        <v>Ikke med</v>
      </c>
      <c r="G11" s="16"/>
      <c r="H11" s="16"/>
      <c r="I11" s="16" t="n">
        <v>100</v>
      </c>
      <c r="J11" s="14" t="str">
        <f aca="false">IFERROR(IF(C11&lt;&gt;"",C11,IF(AND(H11&gt;0,ISNUMBER(H11)),100*(Beregning!$B$10/1000)*(Trykkberegning!$E$25/H11)^2,"")),"")</f>
        <v/>
      </c>
      <c r="K11" s="27" t="n">
        <f aca="false">IFERROR(VLOOKUP(A11,Ventiloppslag,4,FALSE()),"")</f>
        <v>0</v>
      </c>
      <c r="L11" s="27" t="str">
        <f aca="false">IF(C11&lt;&gt;"","Eget trykkfall","Kv ved angitt åpning")</f>
        <v>Kv ved angitt åpning</v>
      </c>
      <c r="M11" s="16" t="s">
        <v>90</v>
      </c>
    </row>
    <row r="12" customFormat="false" ht="22.5" hidden="false" customHeight="true" outlineLevel="0" collapsed="false">
      <c r="A12" s="6"/>
      <c r="B12" s="18" t="n">
        <v>0</v>
      </c>
      <c r="C12" s="16"/>
      <c r="D12" s="14" t="str">
        <f aca="false">IFERROR(IF(F12="OK",B12*J12,""),"")</f>
        <v/>
      </c>
      <c r="E12" s="6"/>
      <c r="F12" s="27" t="str">
        <f aca="false">IFERROR(IF(OR(B12="",B12=0),"Ikke med",IF(OR(NOT(ISNUMBER(B12)),B12&lt;0,B12&lt;&gt;INT(B12)),"FEIL: antall",IF(A12="","FEIL: angi ventil",IF(AND(C12&lt;&gt;"",OR(NOT(ISNUMBER(C12)),C12&lt;0)),"FEIL: trykkfall",IF(AND(C12="",OR(NOT(ISNUMBER(H12)),H12&lt;=0,G12="",NOT(ISNUMBER(I12)),I12&lt;=0,I12&gt;100,E12="",M12&lt;&gt;"Ja")),"FEIL: dokumenter Kv, DN, åpning og medium","OK"))))),"FEIL: kontroller tall")</f>
        <v>Ikke med</v>
      </c>
      <c r="G12" s="16"/>
      <c r="H12" s="16"/>
      <c r="I12" s="16" t="n">
        <v>100</v>
      </c>
      <c r="J12" s="14" t="str">
        <f aca="false">IFERROR(IF(C12&lt;&gt;"",C12,IF(AND(H12&gt;0,ISNUMBER(H12)),100*(Beregning!$B$10/1000)*(Trykkberegning!$E$25/H12)^2,"")),"")</f>
        <v/>
      </c>
      <c r="K12" s="27" t="str">
        <f aca="false">IFERROR(VLOOKUP(A12,Ventiloppslag,4,FALSE()),"")</f>
        <v/>
      </c>
      <c r="L12" s="27" t="str">
        <f aca="false">IF(C12&lt;&gt;"","Eget trykkfall","Kv ved angitt åpning")</f>
        <v>Kv ved angitt åpning</v>
      </c>
      <c r="M12" s="16" t="s">
        <v>90</v>
      </c>
    </row>
    <row r="13" customFormat="false" ht="22.5" hidden="false" customHeight="true" outlineLevel="0" collapsed="false">
      <c r="A13" s="6"/>
      <c r="B13" s="18" t="n">
        <v>0</v>
      </c>
      <c r="C13" s="16"/>
      <c r="D13" s="14" t="str">
        <f aca="false">IFERROR(IF(F13="OK",B13*J13,""),"")</f>
        <v/>
      </c>
      <c r="E13" s="6"/>
      <c r="F13" s="27" t="str">
        <f aca="false">IFERROR(IF(OR(B13="",B13=0),"Ikke med",IF(OR(NOT(ISNUMBER(B13)),B13&lt;0,B13&lt;&gt;INT(B13)),"FEIL: antall",IF(A13="","FEIL: angi ventil",IF(AND(C13&lt;&gt;"",OR(NOT(ISNUMBER(C13)),C13&lt;0)),"FEIL: trykkfall",IF(AND(C13="",OR(NOT(ISNUMBER(H13)),H13&lt;=0,G13="",NOT(ISNUMBER(I13)),I13&lt;=0,I13&gt;100,E13="",M13&lt;&gt;"Ja")),"FEIL: dokumenter Kv, DN, åpning og medium","OK"))))),"FEIL: kontroller tall")</f>
        <v>Ikke med</v>
      </c>
      <c r="G13" s="16"/>
      <c r="H13" s="16"/>
      <c r="I13" s="16" t="n">
        <v>100</v>
      </c>
      <c r="J13" s="14" t="str">
        <f aca="false">IFERROR(IF(C13&lt;&gt;"",C13,IF(AND(H13&gt;0,ISNUMBER(H13)),100*(Beregning!$B$10/1000)*(Trykkberegning!$E$25/H13)^2,"")),"")</f>
        <v/>
      </c>
      <c r="K13" s="27" t="str">
        <f aca="false">IFERROR(VLOOKUP(A13,Ventiloppslag,4,FALSE()),"")</f>
        <v/>
      </c>
      <c r="L13" s="27" t="str">
        <f aca="false">IF(C13&lt;&gt;"","Eget trykkfall","Kv ved angitt åpning")</f>
        <v>Kv ved angitt åpning</v>
      </c>
      <c r="M13" s="16" t="s">
        <v>90</v>
      </c>
    </row>
    <row r="14" customFormat="false" ht="22.5" hidden="false" customHeight="true" outlineLevel="0" collapsed="false">
      <c r="A14" s="6"/>
      <c r="B14" s="18" t="n">
        <v>0</v>
      </c>
      <c r="C14" s="16"/>
      <c r="D14" s="14" t="str">
        <f aca="false">IFERROR(IF(F14="OK",B14*J14,""),"")</f>
        <v/>
      </c>
      <c r="E14" s="6"/>
      <c r="F14" s="27" t="str">
        <f aca="false">IFERROR(IF(OR(B14="",B14=0),"Ikke med",IF(OR(NOT(ISNUMBER(B14)),B14&lt;0,B14&lt;&gt;INT(B14)),"FEIL: antall",IF(A14="","FEIL: angi ventil",IF(AND(C14&lt;&gt;"",OR(NOT(ISNUMBER(C14)),C14&lt;0)),"FEIL: trykkfall",IF(AND(C14="",OR(NOT(ISNUMBER(H14)),H14&lt;=0,G14="",NOT(ISNUMBER(I14)),I14&lt;=0,I14&gt;100,E14="",M14&lt;&gt;"Ja")),"FEIL: dokumenter Kv, DN, åpning og medium","OK"))))),"FEIL: kontroller tall")</f>
        <v>Ikke med</v>
      </c>
      <c r="G14" s="16"/>
      <c r="H14" s="16"/>
      <c r="I14" s="16" t="n">
        <v>100</v>
      </c>
      <c r="J14" s="14" t="str">
        <f aca="false">IFERROR(IF(C14&lt;&gt;"",C14,IF(AND(H14&gt;0,ISNUMBER(H14)),100*(Beregning!$B$10/1000)*(Trykkberegning!$E$25/H14)^2,"")),"")</f>
        <v/>
      </c>
      <c r="K14" s="27" t="str">
        <f aca="false">IFERROR(VLOOKUP(A14,Ventiloppslag,4,FALSE()),"")</f>
        <v/>
      </c>
      <c r="L14" s="27" t="str">
        <f aca="false">IF(C14&lt;&gt;"","Eget trykkfall","Kv ved angitt åpning")</f>
        <v>Kv ved angitt åpning</v>
      </c>
      <c r="M14" s="16" t="s">
        <v>90</v>
      </c>
    </row>
    <row r="15" customFormat="false" ht="22.5" hidden="false" customHeight="true" outlineLevel="0" collapsed="false">
      <c r="A15" s="6"/>
      <c r="B15" s="18" t="n">
        <v>0</v>
      </c>
      <c r="C15" s="16"/>
      <c r="D15" s="14" t="str">
        <f aca="false">IFERROR(IF(F15="OK",B15*J15,""),"")</f>
        <v/>
      </c>
      <c r="E15" s="6"/>
      <c r="F15" s="27" t="str">
        <f aca="false">IFERROR(IF(OR(B15="",B15=0),"Ikke med",IF(OR(NOT(ISNUMBER(B15)),B15&lt;0,B15&lt;&gt;INT(B15)),"FEIL: antall",IF(A15="","FEIL: angi ventil",IF(AND(C15&lt;&gt;"",OR(NOT(ISNUMBER(C15)),C15&lt;0)),"FEIL: trykkfall",IF(AND(C15="",OR(NOT(ISNUMBER(H15)),H15&lt;=0,G15="",NOT(ISNUMBER(I15)),I15&lt;=0,I15&gt;100,E15="",M15&lt;&gt;"Ja")),"FEIL: dokumenter Kv, DN, åpning og medium","OK"))))),"FEIL: kontroller tall")</f>
        <v>Ikke med</v>
      </c>
      <c r="G15" s="16"/>
      <c r="H15" s="16"/>
      <c r="I15" s="16" t="n">
        <v>100</v>
      </c>
      <c r="J15" s="14" t="str">
        <f aca="false">IFERROR(IF(C15&lt;&gt;"",C15,IF(AND(H15&gt;0,ISNUMBER(H15)),100*(Beregning!$B$10/1000)*(Trykkberegning!$E$25/H15)^2,"")),"")</f>
        <v/>
      </c>
      <c r="K15" s="27" t="str">
        <f aca="false">IFERROR(VLOOKUP(A15,Ventiloppslag,4,FALSE()),"")</f>
        <v/>
      </c>
      <c r="L15" s="27" t="str">
        <f aca="false">IF(C15&lt;&gt;"","Eget trykkfall","Kv ved angitt åpning")</f>
        <v>Kv ved angitt åpning</v>
      </c>
      <c r="M15" s="16" t="s">
        <v>90</v>
      </c>
    </row>
    <row r="16" customFormat="false" ht="22.5" hidden="false" customHeight="true" outlineLevel="0" collapsed="false">
      <c r="A16" s="6"/>
      <c r="B16" s="18" t="n">
        <v>0</v>
      </c>
      <c r="C16" s="16"/>
      <c r="D16" s="14" t="str">
        <f aca="false">IFERROR(IF(F16="OK",B16*J16,""),"")</f>
        <v/>
      </c>
      <c r="E16" s="6"/>
      <c r="F16" s="27" t="str">
        <f aca="false">IFERROR(IF(OR(B16="",B16=0),"Ikke med",IF(OR(NOT(ISNUMBER(B16)),B16&lt;0,B16&lt;&gt;INT(B16)),"FEIL: antall",IF(A16="","FEIL: angi ventil",IF(AND(C16&lt;&gt;"",OR(NOT(ISNUMBER(C16)),C16&lt;0)),"FEIL: trykkfall",IF(AND(C16="",OR(NOT(ISNUMBER(H16)),H16&lt;=0,G16="",NOT(ISNUMBER(I16)),I16&lt;=0,I16&gt;100,E16="",M16&lt;&gt;"Ja")),"FEIL: dokumenter Kv, DN, åpning og medium","OK"))))),"FEIL: kontroller tall")</f>
        <v>Ikke med</v>
      </c>
      <c r="G16" s="16"/>
      <c r="H16" s="16"/>
      <c r="I16" s="16" t="n">
        <v>100</v>
      </c>
      <c r="J16" s="14" t="str">
        <f aca="false">IFERROR(IF(C16&lt;&gt;"",C16,IF(AND(H16&gt;0,ISNUMBER(H16)),100*(Beregning!$B$10/1000)*(Trykkberegning!$E$25/H16)^2,"")),"")</f>
        <v/>
      </c>
      <c r="K16" s="27" t="str">
        <f aca="false">IFERROR(VLOOKUP(A16,Ventiloppslag,4,FALSE()),"")</f>
        <v/>
      </c>
      <c r="L16" s="27" t="str">
        <f aca="false">IF(C16&lt;&gt;"","Eget trykkfall","Kv ved angitt åpning")</f>
        <v>Kv ved angitt åpning</v>
      </c>
      <c r="M16" s="16" t="s">
        <v>90</v>
      </c>
    </row>
    <row r="17" customFormat="false" ht="22.5" hidden="false" customHeight="true" outlineLevel="0" collapsed="false">
      <c r="A17" s="6"/>
      <c r="B17" s="18" t="n">
        <v>0</v>
      </c>
      <c r="C17" s="16"/>
      <c r="D17" s="14" t="str">
        <f aca="false">IFERROR(IF(F17="OK",B17*J17,""),"")</f>
        <v/>
      </c>
      <c r="E17" s="6"/>
      <c r="F17" s="27" t="str">
        <f aca="false">IFERROR(IF(OR(B17="",B17=0),"Ikke med",IF(OR(NOT(ISNUMBER(B17)),B17&lt;0,B17&lt;&gt;INT(B17)),"FEIL: antall",IF(A17="","FEIL: angi ventil",IF(AND(C17&lt;&gt;"",OR(NOT(ISNUMBER(C17)),C17&lt;0)),"FEIL: trykkfall",IF(AND(C17="",OR(NOT(ISNUMBER(H17)),H17&lt;=0,G17="",NOT(ISNUMBER(I17)),I17&lt;=0,I17&gt;100,E17="",M17&lt;&gt;"Ja")),"FEIL: dokumenter Kv, DN, åpning og medium","OK"))))),"FEIL: kontroller tall")</f>
        <v>Ikke med</v>
      </c>
      <c r="G17" s="16"/>
      <c r="H17" s="16"/>
      <c r="I17" s="16" t="n">
        <v>100</v>
      </c>
      <c r="J17" s="14" t="str">
        <f aca="false">IFERROR(IF(C17&lt;&gt;"",C17,IF(AND(H17&gt;0,ISNUMBER(H17)),100*(Beregning!$B$10/1000)*(Trykkberegning!$E$25/H17)^2,"")),"")</f>
        <v/>
      </c>
      <c r="K17" s="27" t="str">
        <f aca="false">IFERROR(VLOOKUP(A17,Ventiloppslag,4,FALSE()),"")</f>
        <v/>
      </c>
      <c r="L17" s="27" t="str">
        <f aca="false">IF(C17&lt;&gt;"","Eget trykkfall","Kv ved angitt åpning")</f>
        <v>Kv ved angitt åpning</v>
      </c>
      <c r="M17" s="16" t="s">
        <v>90</v>
      </c>
    </row>
    <row r="18" customFormat="false" ht="22.5" hidden="false" customHeight="true" outlineLevel="0" collapsed="false">
      <c r="A18" s="6"/>
      <c r="B18" s="18" t="n">
        <v>0</v>
      </c>
      <c r="C18" s="16"/>
      <c r="D18" s="14" t="str">
        <f aca="false">IFERROR(IF(F18="OK",B18*J18,""),"")</f>
        <v/>
      </c>
      <c r="E18" s="6"/>
      <c r="F18" s="27" t="str">
        <f aca="false">IFERROR(IF(OR(B18="",B18=0),"Ikke med",IF(OR(NOT(ISNUMBER(B18)),B18&lt;0,B18&lt;&gt;INT(B18)),"FEIL: antall",IF(A18="","FEIL: angi ventil",IF(AND(C18&lt;&gt;"",OR(NOT(ISNUMBER(C18)),C18&lt;0)),"FEIL: trykkfall",IF(AND(C18="",OR(NOT(ISNUMBER(H18)),H18&lt;=0,G18="",NOT(ISNUMBER(I18)),I18&lt;=0,I18&gt;100,E18="",M18&lt;&gt;"Ja")),"FEIL: dokumenter Kv, DN, åpning og medium","OK"))))),"FEIL: kontroller tall")</f>
        <v>Ikke med</v>
      </c>
      <c r="G18" s="16"/>
      <c r="H18" s="16"/>
      <c r="I18" s="16" t="n">
        <v>100</v>
      </c>
      <c r="J18" s="14" t="str">
        <f aca="false">IFERROR(IF(C18&lt;&gt;"",C18,IF(AND(H18&gt;0,ISNUMBER(H18)),100*(Beregning!$B$10/1000)*(Trykkberegning!$E$25/H18)^2,"")),"")</f>
        <v/>
      </c>
      <c r="K18" s="27" t="str">
        <f aca="false">IFERROR(VLOOKUP(A18,Ventiloppslag,4,FALSE()),"")</f>
        <v/>
      </c>
      <c r="L18" s="27" t="str">
        <f aca="false">IF(C18&lt;&gt;"","Eget trykkfall","Kv ved angitt åpning")</f>
        <v>Kv ved angitt åpning</v>
      </c>
      <c r="M18" s="16" t="s">
        <v>90</v>
      </c>
    </row>
    <row r="19" customFormat="false" ht="22.5" hidden="false" customHeight="true" outlineLevel="0" collapsed="false">
      <c r="A19" s="6"/>
      <c r="B19" s="18" t="n">
        <v>0</v>
      </c>
      <c r="C19" s="16"/>
      <c r="D19" s="14" t="str">
        <f aca="false">IFERROR(IF(F19="OK",B19*J19,""),"")</f>
        <v/>
      </c>
      <c r="E19" s="6"/>
      <c r="F19" s="27" t="str">
        <f aca="false">IFERROR(IF(OR(B19="",B19=0),"Ikke med",IF(OR(NOT(ISNUMBER(B19)),B19&lt;0,B19&lt;&gt;INT(B19)),"FEIL: antall",IF(A19="","FEIL: angi ventil",IF(AND(C19&lt;&gt;"",OR(NOT(ISNUMBER(C19)),C19&lt;0)),"FEIL: trykkfall",IF(AND(C19="",OR(NOT(ISNUMBER(H19)),H19&lt;=0,G19="",NOT(ISNUMBER(I19)),I19&lt;=0,I19&gt;100,E19="",M19&lt;&gt;"Ja")),"FEIL: dokumenter Kv, DN, åpning og medium","OK"))))),"FEIL: kontroller tall")</f>
        <v>Ikke med</v>
      </c>
      <c r="G19" s="16"/>
      <c r="H19" s="16"/>
      <c r="I19" s="16" t="n">
        <v>100</v>
      </c>
      <c r="J19" s="14" t="str">
        <f aca="false">IFERROR(IF(C19&lt;&gt;"",C19,IF(AND(H19&gt;0,ISNUMBER(H19)),100*(Beregning!$B$10/1000)*(Trykkberegning!$E$25/H19)^2,"")),"")</f>
        <v/>
      </c>
      <c r="K19" s="27" t="str">
        <f aca="false">IFERROR(VLOOKUP(A19,Ventiloppslag,4,FALSE()),"")</f>
        <v/>
      </c>
      <c r="L19" s="27" t="str">
        <f aca="false">IF(C19&lt;&gt;"","Eget trykkfall","Kv ved angitt åpning")</f>
        <v>Kv ved angitt åpning</v>
      </c>
      <c r="M19" s="16" t="s">
        <v>90</v>
      </c>
    </row>
    <row r="20" customFormat="false" ht="22.5" hidden="false" customHeight="true" outlineLevel="0" collapsed="false">
      <c r="A20" s="6"/>
      <c r="B20" s="18" t="n">
        <v>0</v>
      </c>
      <c r="C20" s="16"/>
      <c r="D20" s="14" t="str">
        <f aca="false">IFERROR(IF(F20="OK",B20*J20,""),"")</f>
        <v/>
      </c>
      <c r="E20" s="6"/>
      <c r="F20" s="27" t="str">
        <f aca="false">IFERROR(IF(OR(B20="",B20=0),"Ikke med",IF(OR(NOT(ISNUMBER(B20)),B20&lt;0,B20&lt;&gt;INT(B20)),"FEIL: antall",IF(A20="","FEIL: angi ventil",IF(AND(C20&lt;&gt;"",OR(NOT(ISNUMBER(C20)),C20&lt;0)),"FEIL: trykkfall",IF(AND(C20="",OR(NOT(ISNUMBER(H20)),H20&lt;=0,G20="",NOT(ISNUMBER(I20)),I20&lt;=0,I20&gt;100,E20="",M20&lt;&gt;"Ja")),"FEIL: dokumenter Kv, DN, åpning og medium","OK"))))),"FEIL: kontroller tall")</f>
        <v>Ikke med</v>
      </c>
      <c r="G20" s="16"/>
      <c r="H20" s="16"/>
      <c r="I20" s="16" t="n">
        <v>100</v>
      </c>
      <c r="J20" s="14" t="str">
        <f aca="false">IFERROR(IF(C20&lt;&gt;"",C20,IF(AND(H20&gt;0,ISNUMBER(H20)),100*(Beregning!$B$10/1000)*(Trykkberegning!$E$25/H20)^2,"")),"")</f>
        <v/>
      </c>
      <c r="K20" s="27" t="str">
        <f aca="false">IFERROR(VLOOKUP(A20,Ventiloppslag,4,FALSE()),"")</f>
        <v/>
      </c>
      <c r="L20" s="27" t="str">
        <f aca="false">IF(C20&lt;&gt;"","Eget trykkfall","Kv ved angitt åpning")</f>
        <v>Kv ved angitt åpning</v>
      </c>
      <c r="M20" s="16" t="s">
        <v>90</v>
      </c>
    </row>
    <row r="21" customFormat="false" ht="22.5" hidden="false" customHeight="true" outlineLevel="0" collapsed="false">
      <c r="A21" s="6"/>
      <c r="B21" s="18" t="n">
        <v>0</v>
      </c>
      <c r="C21" s="16"/>
      <c r="D21" s="14" t="str">
        <f aca="false">IFERROR(IF(F21="OK",B21*J21,""),"")</f>
        <v/>
      </c>
      <c r="E21" s="6"/>
      <c r="F21" s="27" t="str">
        <f aca="false">IFERROR(IF(OR(B21="",B21=0),"Ikke med",IF(OR(NOT(ISNUMBER(B21)),B21&lt;0,B21&lt;&gt;INT(B21)),"FEIL: antall",IF(A21="","FEIL: angi ventil",IF(AND(C21&lt;&gt;"",OR(NOT(ISNUMBER(C21)),C21&lt;0)),"FEIL: trykkfall",IF(AND(C21="",OR(NOT(ISNUMBER(H21)),H21&lt;=0,G21="",NOT(ISNUMBER(I21)),I21&lt;=0,I21&gt;100,E21="",M21&lt;&gt;"Ja")),"FEIL: dokumenter Kv, DN, åpning og medium","OK"))))),"FEIL: kontroller tall")</f>
        <v>Ikke med</v>
      </c>
      <c r="G21" s="16"/>
      <c r="H21" s="16"/>
      <c r="I21" s="16" t="n">
        <v>100</v>
      </c>
      <c r="J21" s="14" t="str">
        <f aca="false">IFERROR(IF(C21&lt;&gt;"",C21,IF(AND(H21&gt;0,ISNUMBER(H21)),100*(Beregning!$B$10/1000)*(Trykkberegning!$E$25/H21)^2,"")),"")</f>
        <v/>
      </c>
      <c r="K21" s="27" t="str">
        <f aca="false">IFERROR(VLOOKUP(A21,Ventiloppslag,4,FALSE()),"")</f>
        <v/>
      </c>
      <c r="L21" s="27" t="str">
        <f aca="false">IF(C21&lt;&gt;"","Eget trykkfall","Kv ved angitt åpning")</f>
        <v>Kv ved angitt åpning</v>
      </c>
      <c r="M21" s="16" t="s">
        <v>90</v>
      </c>
    </row>
    <row r="22" customFormat="false" ht="22.5" hidden="false" customHeight="true" outlineLevel="0" collapsed="false">
      <c r="A22" s="6"/>
      <c r="B22" s="18" t="n">
        <v>0</v>
      </c>
      <c r="C22" s="16"/>
      <c r="D22" s="14" t="str">
        <f aca="false">IFERROR(IF(F22="OK",B22*J22,""),"")</f>
        <v/>
      </c>
      <c r="E22" s="6"/>
      <c r="F22" s="27" t="str">
        <f aca="false">IFERROR(IF(OR(B22="",B22=0),"Ikke med",IF(OR(NOT(ISNUMBER(B22)),B22&lt;0,B22&lt;&gt;INT(B22)),"FEIL: antall",IF(A22="","FEIL: angi ventil",IF(AND(C22&lt;&gt;"",OR(NOT(ISNUMBER(C22)),C22&lt;0)),"FEIL: trykkfall",IF(AND(C22="",OR(NOT(ISNUMBER(H22)),H22&lt;=0,G22="",NOT(ISNUMBER(I22)),I22&lt;=0,I22&gt;100,E22="",M22&lt;&gt;"Ja")),"FEIL: dokumenter Kv, DN, åpning og medium","OK"))))),"FEIL: kontroller tall")</f>
        <v>Ikke med</v>
      </c>
      <c r="G22" s="16"/>
      <c r="H22" s="16"/>
      <c r="I22" s="16" t="n">
        <v>100</v>
      </c>
      <c r="J22" s="14" t="str">
        <f aca="false">IFERROR(IF(C22&lt;&gt;"",C22,IF(AND(H22&gt;0,ISNUMBER(H22)),100*(Beregning!$B$10/1000)*(Trykkberegning!$E$25/H22)^2,"")),"")</f>
        <v/>
      </c>
      <c r="K22" s="27" t="str">
        <f aca="false">IFERROR(VLOOKUP(A22,Ventiloppslag,4,FALSE()),"")</f>
        <v/>
      </c>
      <c r="L22" s="27" t="str">
        <f aca="false">IF(C22&lt;&gt;"","Eget trykkfall","Kv ved angitt åpning")</f>
        <v>Kv ved angitt åpning</v>
      </c>
      <c r="M22" s="16" t="s">
        <v>90</v>
      </c>
    </row>
    <row r="23" customFormat="false" ht="22.5" hidden="false" customHeight="true" outlineLevel="0" collapsed="false">
      <c r="A23" s="6"/>
      <c r="B23" s="18" t="n">
        <v>0</v>
      </c>
      <c r="C23" s="16"/>
      <c r="D23" s="14" t="str">
        <f aca="false">IFERROR(IF(F23="OK",B23*J23,""),"")</f>
        <v/>
      </c>
      <c r="E23" s="6"/>
      <c r="F23" s="27" t="str">
        <f aca="false">IFERROR(IF(OR(B23="",B23=0),"Ikke med",IF(OR(NOT(ISNUMBER(B23)),B23&lt;0,B23&lt;&gt;INT(B23)),"FEIL: antall",IF(A23="","FEIL: angi ventil",IF(AND(C23&lt;&gt;"",OR(NOT(ISNUMBER(C23)),C23&lt;0)),"FEIL: trykkfall",IF(AND(C23="",OR(NOT(ISNUMBER(H23)),H23&lt;=0,G23="",NOT(ISNUMBER(I23)),I23&lt;=0,I23&gt;100,E23="",M23&lt;&gt;"Ja")),"FEIL: dokumenter Kv, DN, åpning og medium","OK"))))),"FEIL: kontroller tall")</f>
        <v>Ikke med</v>
      </c>
      <c r="G23" s="16"/>
      <c r="H23" s="16"/>
      <c r="I23" s="16" t="n">
        <v>100</v>
      </c>
      <c r="J23" s="14" t="str">
        <f aca="false">IFERROR(IF(C23&lt;&gt;"",C23,IF(AND(H23&gt;0,ISNUMBER(H23)),100*(Beregning!$B$10/1000)*(Trykkberegning!$E$25/H23)^2,"")),"")</f>
        <v/>
      </c>
      <c r="K23" s="27" t="str">
        <f aca="false">IFERROR(VLOOKUP(A23,Ventiloppslag,4,FALSE()),"")</f>
        <v/>
      </c>
      <c r="L23" s="27" t="str">
        <f aca="false">IF(C23&lt;&gt;"","Eget trykkfall","Kv ved angitt åpning")</f>
        <v>Kv ved angitt åpning</v>
      </c>
      <c r="M23" s="16" t="s">
        <v>90</v>
      </c>
    </row>
    <row r="24" customFormat="false" ht="22.5" hidden="false" customHeight="true" outlineLevel="0" collapsed="false">
      <c r="A24" s="6"/>
      <c r="B24" s="18" t="n">
        <v>0</v>
      </c>
      <c r="C24" s="16"/>
      <c r="D24" s="14" t="str">
        <f aca="false">IFERROR(IF(F24="OK",B24*J24,""),"")</f>
        <v/>
      </c>
      <c r="E24" s="6"/>
      <c r="F24" s="27" t="str">
        <f aca="false">IFERROR(IF(OR(B24="",B24=0),"Ikke med",IF(OR(NOT(ISNUMBER(B24)),B24&lt;0,B24&lt;&gt;INT(B24)),"FEIL: antall",IF(A24="","FEIL: angi ventil",IF(AND(C24&lt;&gt;"",OR(NOT(ISNUMBER(C24)),C24&lt;0)),"FEIL: trykkfall",IF(AND(C24="",OR(NOT(ISNUMBER(H24)),H24&lt;=0,G24="",NOT(ISNUMBER(I24)),I24&lt;=0,I24&gt;100,E24="",M24&lt;&gt;"Ja")),"FEIL: dokumenter Kv, DN, åpning og medium","OK"))))),"FEIL: kontroller tall")</f>
        <v>Ikke med</v>
      </c>
      <c r="G24" s="16"/>
      <c r="H24" s="16"/>
      <c r="I24" s="16" t="n">
        <v>100</v>
      </c>
      <c r="J24" s="14" t="str">
        <f aca="false">IFERROR(IF(C24&lt;&gt;"",C24,IF(AND(H24&gt;0,ISNUMBER(H24)),100*(Beregning!$B$10/1000)*(Trykkberegning!$E$25/H24)^2,"")),"")</f>
        <v/>
      </c>
      <c r="K24" s="27" t="str">
        <f aca="false">IFERROR(VLOOKUP(A24,Ventiloppslag,4,FALSE()),"")</f>
        <v/>
      </c>
      <c r="L24" s="27" t="str">
        <f aca="false">IF(C24&lt;&gt;"","Eget trykkfall","Kv ved angitt åpning")</f>
        <v>Kv ved angitt åpning</v>
      </c>
      <c r="M24" s="16" t="s">
        <v>90</v>
      </c>
    </row>
    <row r="25" customFormat="false" ht="22.5" hidden="false" customHeight="true" outlineLevel="0" collapsed="false">
      <c r="A25" s="6"/>
      <c r="B25" s="18" t="n">
        <v>0</v>
      </c>
      <c r="C25" s="16"/>
      <c r="D25" s="14" t="str">
        <f aca="false">IFERROR(IF(F25="OK",B25*J25,""),"")</f>
        <v/>
      </c>
      <c r="E25" s="6"/>
      <c r="F25" s="27" t="str">
        <f aca="false">IFERROR(IF(OR(B25="",B25=0),"Ikke med",IF(OR(NOT(ISNUMBER(B25)),B25&lt;0,B25&lt;&gt;INT(B25)),"FEIL: antall",IF(A25="","FEIL: angi ventil",IF(AND(C25&lt;&gt;"",OR(NOT(ISNUMBER(C25)),C25&lt;0)),"FEIL: trykkfall",IF(AND(C25="",OR(NOT(ISNUMBER(H25)),H25&lt;=0,G25="",NOT(ISNUMBER(I25)),I25&lt;=0,I25&gt;100,E25="",M25&lt;&gt;"Ja")),"FEIL: dokumenter Kv, DN, åpning og medium","OK"))))),"FEIL: kontroller tall")</f>
        <v>Ikke med</v>
      </c>
      <c r="G25" s="16"/>
      <c r="H25" s="16"/>
      <c r="I25" s="16" t="n">
        <v>100</v>
      </c>
      <c r="J25" s="14" t="str">
        <f aca="false">IFERROR(IF(C25&lt;&gt;"",C25,IF(AND(H25&gt;0,ISNUMBER(H25)),100*(Beregning!$B$10/1000)*(Trykkberegning!$E$25/H25)^2,"")),"")</f>
        <v/>
      </c>
      <c r="K25" s="27" t="str">
        <f aca="false">IFERROR(VLOOKUP(A25,Ventiloppslag,4,FALSE()),"")</f>
        <v/>
      </c>
      <c r="L25" s="27" t="str">
        <f aca="false">IF(C25&lt;&gt;"","Eget trykkfall","Kv ved angitt åpning")</f>
        <v>Kv ved angitt åpning</v>
      </c>
      <c r="M25" s="16" t="s">
        <v>90</v>
      </c>
    </row>
    <row r="26" customFormat="false" ht="22.5" hidden="false" customHeight="true" outlineLevel="0" collapsed="false">
      <c r="A26" s="6"/>
      <c r="B26" s="18" t="n">
        <v>0</v>
      </c>
      <c r="C26" s="16"/>
      <c r="D26" s="14" t="str">
        <f aca="false">IFERROR(IF(F26="OK",B26*J26,""),"")</f>
        <v/>
      </c>
      <c r="E26" s="6"/>
      <c r="F26" s="27" t="str">
        <f aca="false">IFERROR(IF(OR(B26="",B26=0),"Ikke med",IF(OR(NOT(ISNUMBER(B26)),B26&lt;0,B26&lt;&gt;INT(B26)),"FEIL: antall",IF(A26="","FEIL: angi ventil",IF(AND(C26&lt;&gt;"",OR(NOT(ISNUMBER(C26)),C26&lt;0)),"FEIL: trykkfall",IF(AND(C26="",OR(NOT(ISNUMBER(H26)),H26&lt;=0,G26="",NOT(ISNUMBER(I26)),I26&lt;=0,I26&gt;100,E26="",M26&lt;&gt;"Ja")),"FEIL: dokumenter Kv, DN, åpning og medium","OK"))))),"FEIL: kontroller tall")</f>
        <v>Ikke med</v>
      </c>
      <c r="G26" s="16"/>
      <c r="H26" s="16"/>
      <c r="I26" s="16" t="n">
        <v>100</v>
      </c>
      <c r="J26" s="14" t="str">
        <f aca="false">IFERROR(IF(C26&lt;&gt;"",C26,IF(AND(H26&gt;0,ISNUMBER(H26)),100*(Beregning!$B$10/1000)*(Trykkberegning!$E$25/H26)^2,"")),"")</f>
        <v/>
      </c>
      <c r="K26" s="27" t="str">
        <f aca="false">IFERROR(VLOOKUP(A26,Ventiloppslag,4,FALSE()),"")</f>
        <v/>
      </c>
      <c r="L26" s="27" t="str">
        <f aca="false">IF(C26&lt;&gt;"","Eget trykkfall","Kv ved angitt åpning")</f>
        <v>Kv ved angitt åpning</v>
      </c>
      <c r="M26" s="16" t="s">
        <v>90</v>
      </c>
    </row>
    <row r="27" customFormat="false" ht="22.5" hidden="false" customHeight="true" outlineLevel="0" collapsed="false">
      <c r="A27" s="6"/>
      <c r="B27" s="18" t="n">
        <v>0</v>
      </c>
      <c r="C27" s="16"/>
      <c r="D27" s="14" t="str">
        <f aca="false">IFERROR(IF(F27="OK",B27*J27,""),"")</f>
        <v/>
      </c>
      <c r="E27" s="6"/>
      <c r="F27" s="27" t="str">
        <f aca="false">IFERROR(IF(OR(B27="",B27=0),"Ikke med",IF(OR(NOT(ISNUMBER(B27)),B27&lt;0,B27&lt;&gt;INT(B27)),"FEIL: antall",IF(A27="","FEIL: angi ventil",IF(AND(C27&lt;&gt;"",OR(NOT(ISNUMBER(C27)),C27&lt;0)),"FEIL: trykkfall",IF(AND(C27="",OR(NOT(ISNUMBER(H27)),H27&lt;=0,G27="",NOT(ISNUMBER(I27)),I27&lt;=0,I27&gt;100,E27="",M27&lt;&gt;"Ja")),"FEIL: dokumenter Kv, DN, åpning og medium","OK"))))),"FEIL: kontroller tall")</f>
        <v>Ikke med</v>
      </c>
      <c r="G27" s="16"/>
      <c r="H27" s="16"/>
      <c r="I27" s="16" t="n">
        <v>100</v>
      </c>
      <c r="J27" s="14" t="str">
        <f aca="false">IFERROR(IF(C27&lt;&gt;"",C27,IF(AND(H27&gt;0,ISNUMBER(H27)),100*(Beregning!$B$10/1000)*(Trykkberegning!$E$25/H27)^2,"")),"")</f>
        <v/>
      </c>
      <c r="K27" s="27" t="str">
        <f aca="false">IFERROR(VLOOKUP(A27,Ventiloppslag,4,FALSE()),"")</f>
        <v/>
      </c>
      <c r="L27" s="27" t="str">
        <f aca="false">IF(C27&lt;&gt;"","Eget trykkfall","Kv ved angitt åpning")</f>
        <v>Kv ved angitt åpning</v>
      </c>
      <c r="M27" s="16" t="s">
        <v>90</v>
      </c>
    </row>
    <row r="28" customFormat="false" ht="22.5" hidden="false" customHeight="true" outlineLevel="0" collapsed="false">
      <c r="A28" s="6"/>
      <c r="B28" s="18" t="n">
        <v>0</v>
      </c>
      <c r="C28" s="16"/>
      <c r="D28" s="14" t="str">
        <f aca="false">IFERROR(IF(F28="OK",B28*J28,""),"")</f>
        <v/>
      </c>
      <c r="E28" s="6"/>
      <c r="F28" s="27" t="str">
        <f aca="false">IFERROR(IF(OR(B28="",B28=0),"Ikke med",IF(OR(NOT(ISNUMBER(B28)),B28&lt;0,B28&lt;&gt;INT(B28)),"FEIL: antall",IF(A28="","FEIL: angi ventil",IF(AND(C28&lt;&gt;"",OR(NOT(ISNUMBER(C28)),C28&lt;0)),"FEIL: trykkfall",IF(AND(C28="",OR(NOT(ISNUMBER(H28)),H28&lt;=0,G28="",NOT(ISNUMBER(I28)),I28&lt;=0,I28&gt;100,E28="",M28&lt;&gt;"Ja")),"FEIL: dokumenter Kv, DN, åpning og medium","OK"))))),"FEIL: kontroller tall")</f>
        <v>Ikke med</v>
      </c>
      <c r="G28" s="16"/>
      <c r="H28" s="16"/>
      <c r="I28" s="16" t="n">
        <v>100</v>
      </c>
      <c r="J28" s="14" t="str">
        <f aca="false">IFERROR(IF(C28&lt;&gt;"",C28,IF(AND(H28&gt;0,ISNUMBER(H28)),100*(Beregning!$B$10/1000)*(Trykkberegning!$E$25/H28)^2,"")),"")</f>
        <v/>
      </c>
      <c r="K28" s="27" t="str">
        <f aca="false">IFERROR(VLOOKUP(A28,Ventiloppslag,4,FALSE()),"")</f>
        <v/>
      </c>
      <c r="L28" s="27" t="str">
        <f aca="false">IF(C28&lt;&gt;"","Eget trykkfall","Kv ved angitt åpning")</f>
        <v>Kv ved angitt åpning</v>
      </c>
      <c r="M28" s="16" t="s">
        <v>90</v>
      </c>
    </row>
    <row r="29" customFormat="false" ht="22.5" hidden="false" customHeight="true" outlineLevel="0" collapsed="false">
      <c r="A29" s="6"/>
      <c r="B29" s="18" t="n">
        <v>0</v>
      </c>
      <c r="C29" s="16"/>
      <c r="D29" s="14" t="str">
        <f aca="false">IFERROR(IF(F29="OK",B29*J29,""),"")</f>
        <v/>
      </c>
      <c r="E29" s="6"/>
      <c r="F29" s="27" t="str">
        <f aca="false">IFERROR(IF(OR(B29="",B29=0),"Ikke med",IF(OR(NOT(ISNUMBER(B29)),B29&lt;0,B29&lt;&gt;INT(B29)),"FEIL: antall",IF(A29="","FEIL: angi ventil",IF(AND(C29&lt;&gt;"",OR(NOT(ISNUMBER(C29)),C29&lt;0)),"FEIL: trykkfall",IF(AND(C29="",OR(NOT(ISNUMBER(H29)),H29&lt;=0,G29="",NOT(ISNUMBER(I29)),I29&lt;=0,I29&gt;100,E29="",M29&lt;&gt;"Ja")),"FEIL: dokumenter Kv, DN, åpning og medium","OK"))))),"FEIL: kontroller tall")</f>
        <v>Ikke med</v>
      </c>
      <c r="G29" s="16"/>
      <c r="H29" s="16"/>
      <c r="I29" s="16" t="n">
        <v>100</v>
      </c>
      <c r="J29" s="14" t="str">
        <f aca="false">IFERROR(IF(C29&lt;&gt;"",C29,IF(AND(H29&gt;0,ISNUMBER(H29)),100*(Beregning!$B$10/1000)*(Trykkberegning!$E$25/H29)^2,"")),"")</f>
        <v/>
      </c>
      <c r="K29" s="27" t="str">
        <f aca="false">IFERROR(VLOOKUP(A29,Ventiloppslag,4,FALSE()),"")</f>
        <v/>
      </c>
      <c r="L29" s="27" t="str">
        <f aca="false">IF(C29&lt;&gt;"","Eget trykkfall","Kv ved angitt åpning")</f>
        <v>Kv ved angitt åpning</v>
      </c>
      <c r="M29" s="16" t="s">
        <v>90</v>
      </c>
    </row>
    <row r="30" customFormat="false" ht="22.5" hidden="false" customHeight="true" outlineLevel="0" collapsed="false">
      <c r="A30" s="6"/>
      <c r="B30" s="18" t="n">
        <v>0</v>
      </c>
      <c r="C30" s="16"/>
      <c r="D30" s="14" t="str">
        <f aca="false">IFERROR(IF(F30="OK",B30*J30,""),"")</f>
        <v/>
      </c>
      <c r="E30" s="6"/>
      <c r="F30" s="27" t="str">
        <f aca="false">IFERROR(IF(OR(B30="",B30=0),"Ikke med",IF(OR(NOT(ISNUMBER(B30)),B30&lt;0,B30&lt;&gt;INT(B30)),"FEIL: antall",IF(A30="","FEIL: angi ventil",IF(AND(C30&lt;&gt;"",OR(NOT(ISNUMBER(C30)),C30&lt;0)),"FEIL: trykkfall",IF(AND(C30="",OR(NOT(ISNUMBER(H30)),H30&lt;=0,G30="",NOT(ISNUMBER(I30)),I30&lt;=0,I30&gt;100,E30="",M30&lt;&gt;"Ja")),"FEIL: dokumenter Kv, DN, åpning og medium","OK"))))),"FEIL: kontroller tall")</f>
        <v>Ikke med</v>
      </c>
      <c r="G30" s="16"/>
      <c r="H30" s="16"/>
      <c r="I30" s="16" t="n">
        <v>100</v>
      </c>
      <c r="J30" s="14" t="str">
        <f aca="false">IFERROR(IF(C30&lt;&gt;"",C30,IF(AND(H30&gt;0,ISNUMBER(H30)),100*(Beregning!$B$10/1000)*(Trykkberegning!$E$25/H30)^2,"")),"")</f>
        <v/>
      </c>
      <c r="K30" s="27" t="str">
        <f aca="false">IFERROR(VLOOKUP(A30,Ventiloppslag,4,FALSE()),"")</f>
        <v/>
      </c>
      <c r="L30" s="27" t="str">
        <f aca="false">IF(C30&lt;&gt;"","Eget trykkfall","Kv ved angitt åpning")</f>
        <v>Kv ved angitt åpning</v>
      </c>
      <c r="M30" s="16" t="s">
        <v>90</v>
      </c>
    </row>
    <row r="31" customFormat="false" ht="22.5" hidden="false" customHeight="true" outlineLevel="0" collapsed="false">
      <c r="A31" s="6"/>
      <c r="B31" s="18" t="n">
        <v>0</v>
      </c>
      <c r="C31" s="16"/>
      <c r="D31" s="14" t="str">
        <f aca="false">IFERROR(IF(F31="OK",B31*J31,""),"")</f>
        <v/>
      </c>
      <c r="E31" s="6"/>
      <c r="F31" s="27" t="str">
        <f aca="false">IFERROR(IF(OR(B31="",B31=0),"Ikke med",IF(OR(NOT(ISNUMBER(B31)),B31&lt;0,B31&lt;&gt;INT(B31)),"FEIL: antall",IF(A31="","FEIL: angi ventil",IF(AND(C31&lt;&gt;"",OR(NOT(ISNUMBER(C31)),C31&lt;0)),"FEIL: trykkfall",IF(AND(C31="",OR(NOT(ISNUMBER(H31)),H31&lt;=0,G31="",NOT(ISNUMBER(I31)),I31&lt;=0,I31&gt;100,E31="",M31&lt;&gt;"Ja")),"FEIL: dokumenter Kv, DN, åpning og medium","OK"))))),"FEIL: kontroller tall")</f>
        <v>Ikke med</v>
      </c>
      <c r="G31" s="16"/>
      <c r="H31" s="16"/>
      <c r="I31" s="16" t="n">
        <v>100</v>
      </c>
      <c r="J31" s="14" t="str">
        <f aca="false">IFERROR(IF(C31&lt;&gt;"",C31,IF(AND(H31&gt;0,ISNUMBER(H31)),100*(Beregning!$B$10/1000)*(Trykkberegning!$E$25/H31)^2,"")),"")</f>
        <v/>
      </c>
      <c r="K31" s="27" t="str">
        <f aca="false">IFERROR(VLOOKUP(A31,Ventiloppslag,4,FALSE()),"")</f>
        <v/>
      </c>
      <c r="L31" s="27" t="str">
        <f aca="false">IF(C31&lt;&gt;"","Eget trykkfall","Kv ved angitt åpning")</f>
        <v>Kv ved angitt åpning</v>
      </c>
      <c r="M31" s="16" t="s">
        <v>90</v>
      </c>
    </row>
    <row r="32" customFormat="false" ht="22.5" hidden="false" customHeight="true" outlineLevel="0" collapsed="false"/>
    <row r="33" customFormat="false" ht="22.5" hidden="false" customHeight="true" outlineLevel="0" collapsed="false">
      <c r="A33" s="24" t="s">
        <v>178</v>
      </c>
      <c r="B33" s="24"/>
      <c r="C33" s="24"/>
      <c r="D33" s="39" t="n">
        <f aca="false">SUM(D7:D31)</f>
        <v>0</v>
      </c>
    </row>
    <row r="34" customFormat="false" ht="22.5" hidden="false" customHeight="true" outlineLevel="0" collapsed="false"/>
    <row r="35" customFormat="false" ht="22.5" hidden="false" customHeight="true" outlineLevel="0" collapsed="false">
      <c r="A35" s="26" t="s">
        <v>179</v>
      </c>
      <c r="B35" s="26"/>
      <c r="C35" s="26"/>
      <c r="D35" s="26"/>
      <c r="E35" s="26"/>
      <c r="F35" s="26"/>
    </row>
    <row r="36" customFormat="false" ht="22.5" hidden="false" customHeight="true" outlineLevel="0" collapsed="false">
      <c r="A36" s="26"/>
      <c r="B36" s="26"/>
      <c r="C36" s="26"/>
      <c r="D36" s="26"/>
      <c r="E36" s="26"/>
      <c r="F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F31"/>
  <mergeCells count="6">
    <mergeCell ref="A1:M2"/>
    <mergeCell ref="A3:F3"/>
    <mergeCell ref="A4:M4"/>
    <mergeCell ref="A5:M5"/>
    <mergeCell ref="A33:C33"/>
    <mergeCell ref="A35:F36"/>
  </mergeCells>
  <conditionalFormatting sqref="F7:F31">
    <cfRule type="expression" priority="2" aboveAverage="0" equalAverage="0" bottom="0" percent="0" rank="0" text="" dxfId="0">
      <formula>LEFT(F7,4)="FEIL"</formula>
    </cfRule>
  </conditionalFormatting>
  <dataValidations xmlns="http://schemas.openxmlformats.org/spreadsheetml/2006/main" count="7">
    <dataValidation sqref="B7:B31" showDropDown="0" showInputMessage="0" showErrorMessage="1" allowBlank="1" errorTitle="Ugyldig tall" error="Oppgi et heltall mellom 0 og 100000." type="whole" operator="between">
      <formula1>0</formula1>
      <formula2>100000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A7:A31" showDropDown="0" showInputMessage="1" showErrorMessage="1" allowBlank="1" errorTitle="Ugyldig valg" error="Velg fra listen, eller bruk et felt for egne verdier." promptTitle="Velg verdi" prompt="Bruk nedtrekkslisten. Blå felt kan redigeres." type="list">
      <formula1>Ventilvalg</formula1>
    </dataValidation>
    <dataValidation sqref="G7:G31" showDropDown="0" showInputMessage="1" showErrorMessage="1" allowBlank="1" errorTitle="Ugyldig valg" error="Velg fra listen, eller bruk et felt for egne verdier." promptTitle="Velg verdi" prompt="Bruk nedtrekkslisten. Blå felt kan redigeres." type="list">
      <formula1>NominelleDN</formula1>
    </dataValidation>
    <dataValidation sqref="M7:M31" showDropDown="0" showInputMessage="1" showErrorMessage="1" allowBlank="1" errorTitle="Ugyldig valg" error="Velg fra listen, eller bruk et felt for egne verdier." promptTitle="Velg verdi" prompt="Bruk nedtrekkslisten. Blå felt kan redigeres." type="list">
      <formula1>"Nei,Ja"</formula1>
    </dataValidation>
    <dataValidation sqref="H7:H31" showDropDown="0" showInputMessage="0" showErrorMessage="1" allowBlank="1" errorTitle="Ugyldig tall" error="Oppgi et tall mellom 0 og 1000000000.0." type="decimal" operator="between">
      <formula1>0</formula1>
      <formula2>1000000000.0</formula2>
    </dataValidation>
    <dataValidation sqref="I7:I31" showDropDown="0" showInputMessage="0" showErrorMessage="1" allowBlank="1" errorTitle="Ugyldig tall" error="Oppgi et tall mellom 0 og 100." type="decimal" operator="between">
      <formula1>0</formula1>
      <formula2>100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F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2"/>
    <col collapsed="false" customWidth="true" hidden="false" outlineLevel="0" max="4" min="3" style="0" width="24"/>
    <col collapsed="false" customWidth="true" hidden="false" outlineLevel="0" max="5" min="5" style="0" width="65"/>
    <col collapsed="false" customWidth="true" hidden="false" outlineLevel="0" max="6" min="6" style="0" width="34"/>
  </cols>
  <sheetData>
    <row r="1" customFormat="false" ht="22.5" hidden="false" customHeight="true" outlineLevel="0" collapsed="false">
      <c r="A1" s="1" t="s">
        <v>180</v>
      </c>
      <c r="B1" s="1"/>
      <c r="C1" s="1"/>
      <c r="D1" s="1"/>
      <c r="E1" s="1"/>
      <c r="F1" s="1"/>
    </row>
    <row r="2" customFormat="false" ht="22.5" hidden="false" customHeight="true" outlineLevel="0" collapsed="false">
      <c r="A2" s="1"/>
      <c r="B2" s="1"/>
      <c r="C2" s="1"/>
      <c r="D2" s="1"/>
      <c r="E2" s="1"/>
      <c r="F2" s="1"/>
    </row>
    <row r="3" customFormat="false" ht="22.5" hidden="false" customHeight="true" outlineLevel="0" collapsed="false">
      <c r="A3" s="2" t="s">
        <v>162</v>
      </c>
      <c r="B3" s="2"/>
      <c r="C3" s="2"/>
      <c r="D3" s="2"/>
      <c r="E3" s="2"/>
      <c r="F3" s="2"/>
    </row>
    <row r="4" customFormat="false" ht="22.5" hidden="false" customHeight="true" outlineLevel="0" collapsed="false">
      <c r="A4" s="36" t="s">
        <v>181</v>
      </c>
      <c r="B4" s="36"/>
      <c r="C4" s="36"/>
      <c r="D4" s="36"/>
      <c r="E4" s="36"/>
      <c r="F4" s="36"/>
    </row>
    <row r="5" customFormat="false" ht="22.5" hidden="false" customHeight="true" outlineLevel="0" collapsed="false">
      <c r="A5" s="37" t="s">
        <v>182</v>
      </c>
      <c r="B5" s="37"/>
      <c r="C5" s="37"/>
      <c r="D5" s="37"/>
      <c r="E5" s="37"/>
      <c r="F5" s="37"/>
    </row>
    <row r="6" customFormat="false" ht="36" hidden="false" customHeight="true" outlineLevel="0" collapsed="false">
      <c r="A6" s="27" t="s">
        <v>165</v>
      </c>
      <c r="B6" s="27" t="s">
        <v>148</v>
      </c>
      <c r="C6" s="27" t="s">
        <v>152</v>
      </c>
      <c r="D6" s="27" t="s">
        <v>153</v>
      </c>
      <c r="E6" s="27" t="s">
        <v>123</v>
      </c>
      <c r="F6" s="27" t="s">
        <v>122</v>
      </c>
    </row>
    <row r="7" customFormat="false" ht="22.5" hidden="false" customHeight="true" outlineLevel="0" collapsed="false">
      <c r="A7" s="6" t="s">
        <v>183</v>
      </c>
      <c r="B7" s="18" t="n">
        <v>0</v>
      </c>
      <c r="C7" s="16"/>
      <c r="D7" s="14" t="str">
        <f aca="false">IF(F7="OK",B7*C7,"")</f>
        <v/>
      </c>
      <c r="E7" s="6"/>
      <c r="F7" s="27" t="str">
        <f aca="false">IFERROR(IF(OR(B7="",B7=0),"Ikke med",IF(OR(NOT(ISNUMBER(B7)),B7&lt;0,B7&lt;&gt;INT(B7)),"FEIL: antall",IF(A7="","FEIL: angi navn",IF(OR(C7="",NOT(ISNUMBER(C7)),C7&lt;0),"FEIL: angi Δp per enhet","OK")))),"FEIL: kontroller tall")</f>
        <v>Ikke med</v>
      </c>
    </row>
    <row r="8" customFormat="false" ht="22.5" hidden="false" customHeight="true" outlineLevel="0" collapsed="false">
      <c r="A8" s="6" t="s">
        <v>184</v>
      </c>
      <c r="B8" s="18" t="n">
        <v>0</v>
      </c>
      <c r="C8" s="16"/>
      <c r="D8" s="14" t="str">
        <f aca="false">IF(F8="OK",B8*C8,"")</f>
        <v/>
      </c>
      <c r="E8" s="6"/>
      <c r="F8" s="27" t="str">
        <f aca="false">IFERROR(IF(OR(B8="",B8=0),"Ikke med",IF(OR(NOT(ISNUMBER(B8)),B8&lt;0,B8&lt;&gt;INT(B8)),"FEIL: antall",IF(A8="","FEIL: angi navn",IF(OR(C8="",NOT(ISNUMBER(C8)),C8&lt;0),"FEIL: angi Δp per enhet","OK")))),"FEIL: kontroller tall")</f>
        <v>Ikke med</v>
      </c>
    </row>
    <row r="9" customFormat="false" ht="22.5" hidden="false" customHeight="true" outlineLevel="0" collapsed="false">
      <c r="A9" s="6" t="s">
        <v>185</v>
      </c>
      <c r="B9" s="18" t="n">
        <v>0</v>
      </c>
      <c r="C9" s="16"/>
      <c r="D9" s="14" t="str">
        <f aca="false">IF(F9="OK",B9*C9,"")</f>
        <v/>
      </c>
      <c r="E9" s="6"/>
      <c r="F9" s="27" t="str">
        <f aca="false">IFERROR(IF(OR(B9="",B9=0),"Ikke med",IF(OR(NOT(ISNUMBER(B9)),B9&lt;0,B9&lt;&gt;INT(B9)),"FEIL: antall",IF(A9="","FEIL: angi navn",IF(OR(C9="",NOT(ISNUMBER(C9)),C9&lt;0),"FEIL: angi Δp per enhet","OK")))),"FEIL: kontroller tall")</f>
        <v>Ikke med</v>
      </c>
    </row>
    <row r="10" customFormat="false" ht="22.5" hidden="false" customHeight="true" outlineLevel="0" collapsed="false">
      <c r="A10" s="6" t="s">
        <v>186</v>
      </c>
      <c r="B10" s="18" t="n">
        <v>0</v>
      </c>
      <c r="C10" s="16"/>
      <c r="D10" s="14" t="str">
        <f aca="false">IF(F10="OK",B10*C10,"")</f>
        <v/>
      </c>
      <c r="E10" s="6"/>
      <c r="F10" s="27" t="str">
        <f aca="false">IFERROR(IF(OR(B10="",B10=0),"Ikke med",IF(OR(NOT(ISNUMBER(B10)),B10&lt;0,B10&lt;&gt;INT(B10)),"FEIL: antall",IF(A10="","FEIL: angi navn",IF(OR(C10="",NOT(ISNUMBER(C10)),C10&lt;0),"FEIL: angi Δp per enhet","OK")))),"FEIL: kontroller tall")</f>
        <v>Ikke med</v>
      </c>
    </row>
    <row r="11" customFormat="false" ht="22.5" hidden="false" customHeight="true" outlineLevel="0" collapsed="false">
      <c r="A11" s="6" t="s">
        <v>187</v>
      </c>
      <c r="B11" s="18" t="n">
        <v>0</v>
      </c>
      <c r="C11" s="16"/>
      <c r="D11" s="14" t="str">
        <f aca="false">IF(F11="OK",B11*C11,"")</f>
        <v/>
      </c>
      <c r="E11" s="6"/>
      <c r="F11" s="27" t="str">
        <f aca="false">IFERROR(IF(OR(B11="",B11=0),"Ikke med",IF(OR(NOT(ISNUMBER(B11)),B11&lt;0,B11&lt;&gt;INT(B11)),"FEIL: antall",IF(A11="","FEIL: angi navn",IF(OR(C11="",NOT(ISNUMBER(C11)),C11&lt;0),"FEIL: angi Δp per enhet","OK")))),"FEIL: kontroller tall")</f>
        <v>Ikke med</v>
      </c>
    </row>
    <row r="12" customFormat="false" ht="22.5" hidden="false" customHeight="true" outlineLevel="0" collapsed="false">
      <c r="A12" s="6"/>
      <c r="B12" s="18" t="n">
        <v>0</v>
      </c>
      <c r="C12" s="16"/>
      <c r="D12" s="14" t="str">
        <f aca="false">IF(F12="OK",B12*C12,"")</f>
        <v/>
      </c>
      <c r="E12" s="6"/>
      <c r="F12" s="27" t="str">
        <f aca="false">IFERROR(IF(OR(B12="",B12=0),"Ikke med",IF(OR(NOT(ISNUMBER(B12)),B12&lt;0,B12&lt;&gt;INT(B12)),"FEIL: antall",IF(A12="","FEIL: angi navn",IF(OR(C12="",NOT(ISNUMBER(C12)),C12&lt;0),"FEIL: angi Δp per enhet","OK")))),"FEIL: kontroller tall")</f>
        <v>Ikke med</v>
      </c>
    </row>
    <row r="13" customFormat="false" ht="22.5" hidden="false" customHeight="true" outlineLevel="0" collapsed="false">
      <c r="A13" s="6"/>
      <c r="B13" s="18" t="n">
        <v>0</v>
      </c>
      <c r="C13" s="16"/>
      <c r="D13" s="14" t="str">
        <f aca="false">IF(F13="OK",B13*C13,"")</f>
        <v/>
      </c>
      <c r="E13" s="6"/>
      <c r="F13" s="27" t="str">
        <f aca="false">IFERROR(IF(OR(B13="",B13=0),"Ikke med",IF(OR(NOT(ISNUMBER(B13)),B13&lt;0,B13&lt;&gt;INT(B13)),"FEIL: antall",IF(A13="","FEIL: angi navn",IF(OR(C13="",NOT(ISNUMBER(C13)),C13&lt;0),"FEIL: angi Δp per enhet","OK")))),"FEIL: kontroller tall")</f>
        <v>Ikke med</v>
      </c>
    </row>
    <row r="14" customFormat="false" ht="22.5" hidden="false" customHeight="true" outlineLevel="0" collapsed="false">
      <c r="A14" s="6"/>
      <c r="B14" s="18" t="n">
        <v>0</v>
      </c>
      <c r="C14" s="16"/>
      <c r="D14" s="14" t="str">
        <f aca="false">IF(F14="OK",B14*C14,"")</f>
        <v/>
      </c>
      <c r="E14" s="6"/>
      <c r="F14" s="27" t="str">
        <f aca="false">IFERROR(IF(OR(B14="",B14=0),"Ikke med",IF(OR(NOT(ISNUMBER(B14)),B14&lt;0,B14&lt;&gt;INT(B14)),"FEIL: antall",IF(A14="","FEIL: angi navn",IF(OR(C14="",NOT(ISNUMBER(C14)),C14&lt;0),"FEIL: angi Δp per enhet","OK")))),"FEIL: kontroller tall")</f>
        <v>Ikke med</v>
      </c>
    </row>
    <row r="15" customFormat="false" ht="22.5" hidden="false" customHeight="true" outlineLevel="0" collapsed="false">
      <c r="A15" s="6"/>
      <c r="B15" s="18" t="n">
        <v>0</v>
      </c>
      <c r="C15" s="16"/>
      <c r="D15" s="14" t="str">
        <f aca="false">IF(F15="OK",B15*C15,"")</f>
        <v/>
      </c>
      <c r="E15" s="6"/>
      <c r="F15" s="27" t="str">
        <f aca="false">IFERROR(IF(OR(B15="",B15=0),"Ikke med",IF(OR(NOT(ISNUMBER(B15)),B15&lt;0,B15&lt;&gt;INT(B15)),"FEIL: antall",IF(A15="","FEIL: angi navn",IF(OR(C15="",NOT(ISNUMBER(C15)),C15&lt;0),"FEIL: angi Δp per enhet","OK")))),"FEIL: kontroller tall")</f>
        <v>Ikke med</v>
      </c>
    </row>
    <row r="16" customFormat="false" ht="22.5" hidden="false" customHeight="true" outlineLevel="0" collapsed="false">
      <c r="A16" s="6"/>
      <c r="B16" s="18" t="n">
        <v>0</v>
      </c>
      <c r="C16" s="16"/>
      <c r="D16" s="14" t="str">
        <f aca="false">IF(F16="OK",B16*C16,"")</f>
        <v/>
      </c>
      <c r="E16" s="6"/>
      <c r="F16" s="27" t="str">
        <f aca="false">IFERROR(IF(OR(B16="",B16=0),"Ikke med",IF(OR(NOT(ISNUMBER(B16)),B16&lt;0,B16&lt;&gt;INT(B16)),"FEIL: antall",IF(A16="","FEIL: angi navn",IF(OR(C16="",NOT(ISNUMBER(C16)),C16&lt;0),"FEIL: angi Δp per enhet","OK")))),"FEIL: kontroller tall")</f>
        <v>Ikke med</v>
      </c>
    </row>
    <row r="17" customFormat="false" ht="22.5" hidden="false" customHeight="true" outlineLevel="0" collapsed="false">
      <c r="A17" s="6"/>
      <c r="B17" s="18" t="n">
        <v>0</v>
      </c>
      <c r="C17" s="16"/>
      <c r="D17" s="14" t="str">
        <f aca="false">IF(F17="OK",B17*C17,"")</f>
        <v/>
      </c>
      <c r="E17" s="6"/>
      <c r="F17" s="27" t="str">
        <f aca="false">IFERROR(IF(OR(B17="",B17=0),"Ikke med",IF(OR(NOT(ISNUMBER(B17)),B17&lt;0,B17&lt;&gt;INT(B17)),"FEIL: antall",IF(A17="","FEIL: angi navn",IF(OR(C17="",NOT(ISNUMBER(C17)),C17&lt;0),"FEIL: angi Δp per enhet","OK")))),"FEIL: kontroller tall")</f>
        <v>Ikke med</v>
      </c>
    </row>
    <row r="18" customFormat="false" ht="22.5" hidden="false" customHeight="true" outlineLevel="0" collapsed="false">
      <c r="A18" s="6"/>
      <c r="B18" s="18" t="n">
        <v>0</v>
      </c>
      <c r="C18" s="16"/>
      <c r="D18" s="14" t="str">
        <f aca="false">IF(F18="OK",B18*C18,"")</f>
        <v/>
      </c>
      <c r="E18" s="6"/>
      <c r="F18" s="27" t="str">
        <f aca="false">IFERROR(IF(OR(B18="",B18=0),"Ikke med",IF(OR(NOT(ISNUMBER(B18)),B18&lt;0,B18&lt;&gt;INT(B18)),"FEIL: antall",IF(A18="","FEIL: angi navn",IF(OR(C18="",NOT(ISNUMBER(C18)),C18&lt;0),"FEIL: angi Δp per enhet","OK")))),"FEIL: kontroller tall")</f>
        <v>Ikke med</v>
      </c>
    </row>
    <row r="19" customFormat="false" ht="22.5" hidden="false" customHeight="true" outlineLevel="0" collapsed="false">
      <c r="A19" s="6"/>
      <c r="B19" s="18" t="n">
        <v>0</v>
      </c>
      <c r="C19" s="16"/>
      <c r="D19" s="14" t="str">
        <f aca="false">IF(F19="OK",B19*C19,"")</f>
        <v/>
      </c>
      <c r="E19" s="6"/>
      <c r="F19" s="27" t="str">
        <f aca="false">IFERROR(IF(OR(B19="",B19=0),"Ikke med",IF(OR(NOT(ISNUMBER(B19)),B19&lt;0,B19&lt;&gt;INT(B19)),"FEIL: antall",IF(A19="","FEIL: angi navn",IF(OR(C19="",NOT(ISNUMBER(C19)),C19&lt;0),"FEIL: angi Δp per enhet","OK")))),"FEIL: kontroller tall")</f>
        <v>Ikke med</v>
      </c>
    </row>
    <row r="20" customFormat="false" ht="22.5" hidden="false" customHeight="true" outlineLevel="0" collapsed="false">
      <c r="A20" s="6"/>
      <c r="B20" s="18" t="n">
        <v>0</v>
      </c>
      <c r="C20" s="16"/>
      <c r="D20" s="14" t="str">
        <f aca="false">IF(F20="OK",B20*C20,"")</f>
        <v/>
      </c>
      <c r="E20" s="6"/>
      <c r="F20" s="27" t="str">
        <f aca="false">IFERROR(IF(OR(B20="",B20=0),"Ikke med",IF(OR(NOT(ISNUMBER(B20)),B20&lt;0,B20&lt;&gt;INT(B20)),"FEIL: antall",IF(A20="","FEIL: angi navn",IF(OR(C20="",NOT(ISNUMBER(C20)),C20&lt;0),"FEIL: angi Δp per enhet","OK")))),"FEIL: kontroller tall")</f>
        <v>Ikke med</v>
      </c>
    </row>
    <row r="21" customFormat="false" ht="22.5" hidden="false" customHeight="true" outlineLevel="0" collapsed="false">
      <c r="A21" s="6"/>
      <c r="B21" s="18" t="n">
        <v>0</v>
      </c>
      <c r="C21" s="16"/>
      <c r="D21" s="14" t="str">
        <f aca="false">IF(F21="OK",B21*C21,"")</f>
        <v/>
      </c>
      <c r="E21" s="6"/>
      <c r="F21" s="27" t="str">
        <f aca="false">IFERROR(IF(OR(B21="",B21=0),"Ikke med",IF(OR(NOT(ISNUMBER(B21)),B21&lt;0,B21&lt;&gt;INT(B21)),"FEIL: antall",IF(A21="","FEIL: angi navn",IF(OR(C21="",NOT(ISNUMBER(C21)),C21&lt;0),"FEIL: angi Δp per enhet","OK")))),"FEIL: kontroller tall")</f>
        <v>Ikke med</v>
      </c>
    </row>
    <row r="22" customFormat="false" ht="22.5" hidden="false" customHeight="true" outlineLevel="0" collapsed="false">
      <c r="A22" s="6"/>
      <c r="B22" s="18" t="n">
        <v>0</v>
      </c>
      <c r="C22" s="16"/>
      <c r="D22" s="14" t="str">
        <f aca="false">IF(F22="OK",B22*C22,"")</f>
        <v/>
      </c>
      <c r="E22" s="6"/>
      <c r="F22" s="27" t="str">
        <f aca="false">IFERROR(IF(OR(B22="",B22=0),"Ikke med",IF(OR(NOT(ISNUMBER(B22)),B22&lt;0,B22&lt;&gt;INT(B22)),"FEIL: antall",IF(A22="","FEIL: angi navn",IF(OR(C22="",NOT(ISNUMBER(C22)),C22&lt;0),"FEIL: angi Δp per enhet","OK")))),"FEIL: kontroller tall")</f>
        <v>Ikke med</v>
      </c>
    </row>
    <row r="23" customFormat="false" ht="22.5" hidden="false" customHeight="true" outlineLevel="0" collapsed="false">
      <c r="A23" s="6"/>
      <c r="B23" s="18" t="n">
        <v>0</v>
      </c>
      <c r="C23" s="16"/>
      <c r="D23" s="14" t="str">
        <f aca="false">IF(F23="OK",B23*C23,"")</f>
        <v/>
      </c>
      <c r="E23" s="6"/>
      <c r="F23" s="27" t="str">
        <f aca="false">IFERROR(IF(OR(B23="",B23=0),"Ikke med",IF(OR(NOT(ISNUMBER(B23)),B23&lt;0,B23&lt;&gt;INT(B23)),"FEIL: antall",IF(A23="","FEIL: angi navn",IF(OR(C23="",NOT(ISNUMBER(C23)),C23&lt;0),"FEIL: angi Δp per enhet","OK")))),"FEIL: kontroller tall")</f>
        <v>Ikke med</v>
      </c>
    </row>
    <row r="24" customFormat="false" ht="22.5" hidden="false" customHeight="true" outlineLevel="0" collapsed="false">
      <c r="A24" s="6"/>
      <c r="B24" s="18" t="n">
        <v>0</v>
      </c>
      <c r="C24" s="16"/>
      <c r="D24" s="14" t="str">
        <f aca="false">IF(F24="OK",B24*C24,"")</f>
        <v/>
      </c>
      <c r="E24" s="6"/>
      <c r="F24" s="27" t="str">
        <f aca="false">IFERROR(IF(OR(B24="",B24=0),"Ikke med",IF(OR(NOT(ISNUMBER(B24)),B24&lt;0,B24&lt;&gt;INT(B24)),"FEIL: antall",IF(A24="","FEIL: angi navn",IF(OR(C24="",NOT(ISNUMBER(C24)),C24&lt;0),"FEIL: angi Δp per enhet","OK")))),"FEIL: kontroller tall")</f>
        <v>Ikke med</v>
      </c>
    </row>
    <row r="25" customFormat="false" ht="22.5" hidden="false" customHeight="true" outlineLevel="0" collapsed="false">
      <c r="A25" s="6"/>
      <c r="B25" s="18" t="n">
        <v>0</v>
      </c>
      <c r="C25" s="16"/>
      <c r="D25" s="14" t="str">
        <f aca="false">IF(F25="OK",B25*C25,"")</f>
        <v/>
      </c>
      <c r="E25" s="6"/>
      <c r="F25" s="27" t="str">
        <f aca="false">IFERROR(IF(OR(B25="",B25=0),"Ikke med",IF(OR(NOT(ISNUMBER(B25)),B25&lt;0,B25&lt;&gt;INT(B25)),"FEIL: antall",IF(A25="","FEIL: angi navn",IF(OR(C25="",NOT(ISNUMBER(C25)),C25&lt;0),"FEIL: angi Δp per enhet","OK")))),"FEIL: kontroller tall")</f>
        <v>Ikke med</v>
      </c>
    </row>
    <row r="26" customFormat="false" ht="22.5" hidden="false" customHeight="true" outlineLevel="0" collapsed="false">
      <c r="A26" s="6"/>
      <c r="B26" s="18" t="n">
        <v>0</v>
      </c>
      <c r="C26" s="16"/>
      <c r="D26" s="14" t="str">
        <f aca="false">IF(F26="OK",B26*C26,"")</f>
        <v/>
      </c>
      <c r="E26" s="6"/>
      <c r="F26" s="27" t="str">
        <f aca="false">IFERROR(IF(OR(B26="",B26=0),"Ikke med",IF(OR(NOT(ISNUMBER(B26)),B26&lt;0,B26&lt;&gt;INT(B26)),"FEIL: antall",IF(A26="","FEIL: angi navn",IF(OR(C26="",NOT(ISNUMBER(C26)),C26&lt;0),"FEIL: angi Δp per enhet","OK")))),"FEIL: kontroller tall")</f>
        <v>Ikke med</v>
      </c>
    </row>
    <row r="27" customFormat="false" ht="22.5" hidden="false" customHeight="true" outlineLevel="0" collapsed="false">
      <c r="A27" s="6"/>
      <c r="B27" s="18" t="n">
        <v>0</v>
      </c>
      <c r="C27" s="16"/>
      <c r="D27" s="14" t="str">
        <f aca="false">IF(F27="OK",B27*C27,"")</f>
        <v/>
      </c>
      <c r="E27" s="6"/>
      <c r="F27" s="27" t="str">
        <f aca="false">IFERROR(IF(OR(B27="",B27=0),"Ikke med",IF(OR(NOT(ISNUMBER(B27)),B27&lt;0,B27&lt;&gt;INT(B27)),"FEIL: antall",IF(A27="","FEIL: angi navn",IF(OR(C27="",NOT(ISNUMBER(C27)),C27&lt;0),"FEIL: angi Δp per enhet","OK")))),"FEIL: kontroller tall")</f>
        <v>Ikke med</v>
      </c>
    </row>
    <row r="28" customFormat="false" ht="22.5" hidden="false" customHeight="true" outlineLevel="0" collapsed="false">
      <c r="A28" s="6"/>
      <c r="B28" s="18" t="n">
        <v>0</v>
      </c>
      <c r="C28" s="16"/>
      <c r="D28" s="14" t="str">
        <f aca="false">IF(F28="OK",B28*C28,"")</f>
        <v/>
      </c>
      <c r="E28" s="6"/>
      <c r="F28" s="27" t="str">
        <f aca="false">IFERROR(IF(OR(B28="",B28=0),"Ikke med",IF(OR(NOT(ISNUMBER(B28)),B28&lt;0,B28&lt;&gt;INT(B28)),"FEIL: antall",IF(A28="","FEIL: angi navn",IF(OR(C28="",NOT(ISNUMBER(C28)),C28&lt;0),"FEIL: angi Δp per enhet","OK")))),"FEIL: kontroller tall")</f>
        <v>Ikke med</v>
      </c>
    </row>
    <row r="29" customFormat="false" ht="22.5" hidden="false" customHeight="true" outlineLevel="0" collapsed="false">
      <c r="A29" s="6"/>
      <c r="B29" s="18" t="n">
        <v>0</v>
      </c>
      <c r="C29" s="16"/>
      <c r="D29" s="14" t="str">
        <f aca="false">IF(F29="OK",B29*C29,"")</f>
        <v/>
      </c>
      <c r="E29" s="6"/>
      <c r="F29" s="27" t="str">
        <f aca="false">IFERROR(IF(OR(B29="",B29=0),"Ikke med",IF(OR(NOT(ISNUMBER(B29)),B29&lt;0,B29&lt;&gt;INT(B29)),"FEIL: antall",IF(A29="","FEIL: angi navn",IF(OR(C29="",NOT(ISNUMBER(C29)),C29&lt;0),"FEIL: angi Δp per enhet","OK")))),"FEIL: kontroller tall")</f>
        <v>Ikke med</v>
      </c>
    </row>
    <row r="30" customFormat="false" ht="22.5" hidden="false" customHeight="true" outlineLevel="0" collapsed="false">
      <c r="A30" s="6"/>
      <c r="B30" s="18" t="n">
        <v>0</v>
      </c>
      <c r="C30" s="16"/>
      <c r="D30" s="14" t="str">
        <f aca="false">IF(F30="OK",B30*C30,"")</f>
        <v/>
      </c>
      <c r="E30" s="6"/>
      <c r="F30" s="27" t="str">
        <f aca="false">IFERROR(IF(OR(B30="",B30=0),"Ikke med",IF(OR(NOT(ISNUMBER(B30)),B30&lt;0,B30&lt;&gt;INT(B30)),"FEIL: antall",IF(A30="","FEIL: angi navn",IF(OR(C30="",NOT(ISNUMBER(C30)),C30&lt;0),"FEIL: angi Δp per enhet","OK")))),"FEIL: kontroller tall")</f>
        <v>Ikke med</v>
      </c>
    </row>
    <row r="31" customFormat="false" ht="22.5" hidden="false" customHeight="true" outlineLevel="0" collapsed="false">
      <c r="A31" s="6"/>
      <c r="B31" s="18" t="n">
        <v>0</v>
      </c>
      <c r="C31" s="16"/>
      <c r="D31" s="14" t="str">
        <f aca="false">IF(F31="OK",B31*C31,"")</f>
        <v/>
      </c>
      <c r="E31" s="6"/>
      <c r="F31" s="27" t="str">
        <f aca="false">IFERROR(IF(OR(B31="",B31=0),"Ikke med",IF(OR(NOT(ISNUMBER(B31)),B31&lt;0,B31&lt;&gt;INT(B31)),"FEIL: antall",IF(A31="","FEIL: angi navn",IF(OR(C31="",NOT(ISNUMBER(C31)),C31&lt;0),"FEIL: angi Δp per enhet","OK")))),"FEIL: kontroller tall")</f>
        <v>Ikke med</v>
      </c>
    </row>
    <row r="32" customFormat="false" ht="22.5" hidden="false" customHeight="true" outlineLevel="0" collapsed="false"/>
    <row r="33" customFormat="false" ht="22.5" hidden="false" customHeight="true" outlineLevel="0" collapsed="false">
      <c r="A33" s="24" t="s">
        <v>178</v>
      </c>
      <c r="B33" s="24"/>
      <c r="C33" s="24"/>
      <c r="D33" s="39" t="n">
        <f aca="false">SUM(D7:D31)</f>
        <v>0</v>
      </c>
    </row>
    <row r="34" customFormat="false" ht="22.5" hidden="false" customHeight="true" outlineLevel="0" collapsed="false"/>
    <row r="35" customFormat="false" ht="22.5" hidden="false" customHeight="true" outlineLevel="0" collapsed="false">
      <c r="A35" s="26" t="s">
        <v>179</v>
      </c>
      <c r="B35" s="26"/>
      <c r="C35" s="26"/>
      <c r="D35" s="26"/>
      <c r="E35" s="26"/>
      <c r="F35" s="26"/>
    </row>
    <row r="36" customFormat="false" ht="22.5" hidden="false" customHeight="true" outlineLevel="0" collapsed="false">
      <c r="A36" s="26"/>
      <c r="B36" s="26"/>
      <c r="C36" s="26"/>
      <c r="D36" s="26"/>
      <c r="E36" s="26"/>
      <c r="F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F31"/>
  <mergeCells count="6">
    <mergeCell ref="A1:F2"/>
    <mergeCell ref="A3:F3"/>
    <mergeCell ref="A4:F4"/>
    <mergeCell ref="A5:F5"/>
    <mergeCell ref="A33:C33"/>
    <mergeCell ref="A35:F36"/>
  </mergeCells>
  <conditionalFormatting sqref="F7:F31">
    <cfRule type="expression" priority="2" aboveAverage="0" equalAverage="0" bottom="0" percent="0" rank="0" text="" dxfId="0">
      <formula>LEFT(F7,4)="FEIL"</formula>
    </cfRule>
  </conditionalFormatting>
  <dataValidations xmlns="http://schemas.openxmlformats.org/spreadsheetml/2006/main" count="2">
    <dataValidation sqref="B7:B31" showDropDown="0" showInputMessage="0" showErrorMessage="1" allowBlank="1" errorTitle="Ugyldig tall" error="Oppgi et heltall mellom 0 og 100000." type="whole" operator="between">
      <formula1>0</formula1>
      <formula2>100000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3" min="2" style="0" width="30"/>
    <col collapsed="false" customWidth="true" hidden="false" outlineLevel="0" max="4" min="4" style="0" width="85"/>
    <col collapsed="false" customWidth="true" hidden="false" outlineLevel="0" max="5" min="5" style="0" width="30"/>
  </cols>
  <sheetData>
    <row r="1" customFormat="false" ht="22.5" hidden="false" customHeight="true" outlineLevel="0" collapsed="false">
      <c r="A1" s="1" t="s">
        <v>188</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189</v>
      </c>
      <c r="B3" s="2"/>
      <c r="C3" s="2"/>
      <c r="D3" s="2"/>
      <c r="E3" s="2"/>
    </row>
    <row r="4" customFormat="false" ht="22.5" hidden="false" customHeight="true" outlineLevel="0" collapsed="false">
      <c r="A4" s="28" t="s">
        <v>190</v>
      </c>
      <c r="B4" s="28"/>
      <c r="C4" s="28"/>
      <c r="D4" s="28"/>
      <c r="E4" s="28"/>
    </row>
    <row r="5" customFormat="false" ht="22.5" hidden="false" customHeight="true" outlineLevel="0" collapsed="false">
      <c r="A5" s="28"/>
      <c r="B5" s="28"/>
      <c r="C5" s="28"/>
      <c r="D5" s="28"/>
      <c r="E5" s="28"/>
    </row>
    <row r="6" customFormat="false" ht="22.5" hidden="false" customHeight="true" outlineLevel="0" collapsed="false">
      <c r="A6" s="27" t="s">
        <v>191</v>
      </c>
      <c r="B6" s="27" t="s">
        <v>192</v>
      </c>
      <c r="C6" s="27" t="s">
        <v>193</v>
      </c>
      <c r="D6" s="27" t="s">
        <v>194</v>
      </c>
      <c r="E6" s="27" t="s">
        <v>195</v>
      </c>
    </row>
    <row r="7" customFormat="false" ht="33.75" hidden="false" customHeight="true" outlineLevel="0" collapsed="false">
      <c r="A7" s="27" t="s">
        <v>196</v>
      </c>
      <c r="B7" s="27" t="s">
        <v>197</v>
      </c>
      <c r="C7" s="27"/>
      <c r="D7" s="27"/>
      <c r="E7" s="27"/>
    </row>
    <row r="8" customFormat="false" ht="33.75" hidden="false" customHeight="true" outlineLevel="0" collapsed="false">
      <c r="A8" s="27" t="s">
        <v>173</v>
      </c>
      <c r="B8" s="27" t="s">
        <v>198</v>
      </c>
      <c r="C8" s="27"/>
      <c r="D8" s="27"/>
      <c r="E8" s="27"/>
    </row>
    <row r="9" customFormat="false" ht="33.75" hidden="false" customHeight="true" outlineLevel="0" collapsed="false">
      <c r="A9" s="27" t="s">
        <v>174</v>
      </c>
      <c r="B9" s="27" t="s">
        <v>198</v>
      </c>
      <c r="C9" s="27"/>
      <c r="D9" s="27"/>
      <c r="E9" s="27"/>
    </row>
    <row r="10" customFormat="false" ht="33.75" hidden="false" customHeight="true" outlineLevel="0" collapsed="false">
      <c r="A10" s="27" t="s">
        <v>175</v>
      </c>
      <c r="B10" s="27" t="s">
        <v>198</v>
      </c>
      <c r="C10" s="27"/>
      <c r="D10" s="27"/>
      <c r="E10" s="27"/>
    </row>
    <row r="11" customFormat="false" ht="33.75" hidden="false" customHeight="true" outlineLevel="0" collapsed="false">
      <c r="A11" s="27" t="s">
        <v>176</v>
      </c>
      <c r="B11" s="27" t="s">
        <v>198</v>
      </c>
      <c r="C11" s="27"/>
      <c r="D11" s="27"/>
      <c r="E11" s="27"/>
    </row>
    <row r="12" customFormat="false" ht="33.75" hidden="false" customHeight="true" outlineLevel="0" collapsed="false">
      <c r="A12" s="27" t="s">
        <v>177</v>
      </c>
      <c r="B12" s="27" t="s">
        <v>198</v>
      </c>
      <c r="C12" s="27"/>
      <c r="D12" s="27"/>
      <c r="E12" s="27"/>
    </row>
    <row r="13" customFormat="false" ht="22.5" hidden="false" customHeight="true" outlineLevel="0" collapsed="false"/>
    <row r="14" customFormat="false" ht="22.5" hidden="false" customHeight="true" outlineLevel="0" collapsed="false"/>
    <row r="15" customFormat="false" ht="22.5" hidden="false" customHeight="true" outlineLevel="0" collapsed="false"/>
    <row r="16" customFormat="false" ht="22.5" hidden="false" customHeight="true" outlineLevel="0" collapsed="false"/>
    <row r="17" customFormat="false" ht="22.5" hidden="false" customHeight="true" outlineLevel="0" collapsed="false"/>
    <row r="18" customFormat="false" ht="22.5" hidden="false" customHeight="true" outlineLevel="0" collapsed="false"/>
    <row r="19" customFormat="false" ht="22.5" hidden="false" customHeight="true" outlineLevel="0" collapsed="false"/>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E12"/>
  <mergeCells count="3">
    <mergeCell ref="A1:E2"/>
    <mergeCell ref="A3:E3"/>
    <mergeCell ref="A4:E5"/>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C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42"/>
    <col collapsed="false" customWidth="true" hidden="false" outlineLevel="0" max="3" min="3" style="0" width="115"/>
  </cols>
  <sheetData>
    <row r="1" customFormat="false" ht="22.5" hidden="false" customHeight="true" outlineLevel="0" collapsed="false">
      <c r="A1" s="1" t="s">
        <v>199</v>
      </c>
      <c r="B1" s="1"/>
      <c r="C1" s="1"/>
    </row>
    <row r="2" customFormat="false" ht="22.5" hidden="false" customHeight="true" outlineLevel="0" collapsed="false">
      <c r="A2" s="1"/>
      <c r="B2" s="1"/>
      <c r="C2" s="1"/>
    </row>
    <row r="3" customFormat="false" ht="22.5" hidden="false" customHeight="true" outlineLevel="0" collapsed="false">
      <c r="A3" s="2" t="s">
        <v>200</v>
      </c>
      <c r="B3" s="2"/>
      <c r="C3" s="2"/>
    </row>
    <row r="4" customFormat="false" ht="22.5" hidden="false" customHeight="true" outlineLevel="0" collapsed="false"/>
    <row r="5" customFormat="false" ht="22.5" hidden="false" customHeight="true" outlineLevel="0" collapsed="false"/>
    <row r="6" customFormat="false" ht="78" hidden="false" customHeight="true" outlineLevel="0" collapsed="false">
      <c r="A6" s="27" t="n">
        <v>1</v>
      </c>
      <c r="B6" s="27" t="s">
        <v>201</v>
      </c>
      <c r="C6" s="27" t="s">
        <v>202</v>
      </c>
    </row>
    <row r="7" customFormat="false" ht="78" hidden="false" customHeight="true" outlineLevel="0" collapsed="false">
      <c r="A7" s="27" t="n">
        <v>2</v>
      </c>
      <c r="B7" s="27" t="s">
        <v>203</v>
      </c>
      <c r="C7" s="27" t="s">
        <v>204</v>
      </c>
    </row>
    <row r="8" customFormat="false" ht="78" hidden="false" customHeight="true" outlineLevel="0" collapsed="false">
      <c r="A8" s="27" t="n">
        <v>3</v>
      </c>
      <c r="B8" s="27" t="s">
        <v>205</v>
      </c>
      <c r="C8" s="27" t="s">
        <v>206</v>
      </c>
    </row>
    <row r="9" customFormat="false" ht="78" hidden="false" customHeight="true" outlineLevel="0" collapsed="false">
      <c r="A9" s="27" t="n">
        <v>4</v>
      </c>
      <c r="B9" s="27" t="s">
        <v>207</v>
      </c>
      <c r="C9" s="27" t="s">
        <v>208</v>
      </c>
    </row>
    <row r="10" customFormat="false" ht="78" hidden="false" customHeight="true" outlineLevel="0" collapsed="false">
      <c r="A10" s="27" t="n">
        <v>5</v>
      </c>
      <c r="B10" s="27" t="s">
        <v>209</v>
      </c>
      <c r="C10" s="27" t="s">
        <v>210</v>
      </c>
    </row>
    <row r="11" customFormat="false" ht="78" hidden="false" customHeight="true" outlineLevel="0" collapsed="false">
      <c r="A11" s="27" t="n">
        <v>6</v>
      </c>
      <c r="B11" s="27" t="s">
        <v>211</v>
      </c>
      <c r="C11" s="27" t="s">
        <v>212</v>
      </c>
    </row>
    <row r="12" customFormat="false" ht="90" hidden="false" customHeight="true" outlineLevel="0" collapsed="false">
      <c r="A12" s="27" t="n">
        <v>7</v>
      </c>
      <c r="B12" s="27" t="s">
        <v>213</v>
      </c>
      <c r="C12" s="27" t="s">
        <v>214</v>
      </c>
    </row>
    <row r="13" customFormat="false" ht="78" hidden="false" customHeight="true" outlineLevel="0" collapsed="false">
      <c r="A13" s="27" t="n">
        <v>8</v>
      </c>
      <c r="B13" s="27" t="s">
        <v>215</v>
      </c>
      <c r="C13" s="27" t="s">
        <v>216</v>
      </c>
    </row>
    <row r="14" customFormat="false" ht="90" hidden="false" customHeight="true" outlineLevel="0" collapsed="false">
      <c r="A14" s="27" t="n">
        <v>9</v>
      </c>
      <c r="B14" s="27" t="s">
        <v>217</v>
      </c>
      <c r="C14" s="27" t="s">
        <v>218</v>
      </c>
    </row>
    <row r="15" customFormat="false" ht="90" hidden="false" customHeight="true" outlineLevel="0" collapsed="false">
      <c r="A15" s="27" t="n">
        <v>10</v>
      </c>
      <c r="B15" s="27" t="s">
        <v>219</v>
      </c>
      <c r="C15" s="27" t="s">
        <v>220</v>
      </c>
    </row>
    <row r="16" customFormat="false" ht="90" hidden="false" customHeight="true" outlineLevel="0" collapsed="false">
      <c r="A16" s="27" t="n">
        <v>11</v>
      </c>
      <c r="B16" s="27" t="s">
        <v>221</v>
      </c>
      <c r="C16" s="27" t="s">
        <v>222</v>
      </c>
    </row>
    <row r="17" customFormat="false" ht="78" hidden="false" customHeight="true" outlineLevel="0" collapsed="false">
      <c r="A17" s="27" t="n">
        <v>12</v>
      </c>
      <c r="B17" s="27" t="s">
        <v>223</v>
      </c>
      <c r="C17" s="27" t="s">
        <v>224</v>
      </c>
    </row>
    <row r="18" customFormat="false" ht="78" hidden="false" customHeight="true" outlineLevel="0" collapsed="false">
      <c r="A18" s="27" t="n">
        <v>13</v>
      </c>
      <c r="B18" s="27" t="s">
        <v>225</v>
      </c>
      <c r="C18" s="27" t="s">
        <v>226</v>
      </c>
    </row>
    <row r="19" customFormat="false" ht="78" hidden="false" customHeight="true" outlineLevel="0" collapsed="false">
      <c r="A19" s="27" t="n">
        <v>14</v>
      </c>
      <c r="B19" s="27" t="s">
        <v>227</v>
      </c>
      <c r="C19" s="27" t="s">
        <v>228</v>
      </c>
    </row>
    <row r="20" customFormat="false" ht="78" hidden="false" customHeight="true" outlineLevel="0" collapsed="false">
      <c r="A20" s="27" t="n">
        <v>15</v>
      </c>
      <c r="B20" s="27" t="s">
        <v>229</v>
      </c>
      <c r="C20" s="27" t="s">
        <v>230</v>
      </c>
    </row>
    <row r="21" customFormat="false" ht="22.5" hidden="false" customHeight="true" outlineLevel="0" collapsed="false"/>
    <row r="22" customFormat="false" ht="22.5" hidden="false" customHeight="true" outlineLevel="0" collapsed="false"/>
    <row r="23" customFormat="false" ht="22.5" hidden="false" customHeight="true" outlineLevel="0" collapsed="false">
      <c r="C23" s="42" t="s">
        <v>231</v>
      </c>
    </row>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2">
    <mergeCell ref="A1:C2"/>
    <mergeCell ref="A3:C3"/>
  </mergeCells>
  <hyperlinks>
    <hyperlink ref="C23" r:id="rId1" display="Dokumentert referanseimplementasjon: fluids / fittings.py"/>
  </hyperlink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5"/>
    <col collapsed="false" customWidth="true" hidden="false" outlineLevel="0" max="2" min="2" style="0" width="28"/>
    <col collapsed="false" customWidth="true" hidden="false" outlineLevel="0" max="3" min="3" style="0" width="22"/>
    <col collapsed="false" customWidth="true" hidden="false" outlineLevel="0" max="4" min="4" style="0" width="18"/>
    <col collapsed="false" customWidth="true" hidden="false" outlineLevel="0" max="5" min="5" style="0" width="65"/>
  </cols>
  <sheetData>
    <row r="1" customFormat="false" ht="22.5" hidden="false" customHeight="true" outlineLevel="0" collapsed="false">
      <c r="A1" s="1" t="s">
        <v>232</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233</v>
      </c>
      <c r="B3" s="2"/>
      <c r="C3" s="2"/>
      <c r="D3" s="2"/>
      <c r="E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234</v>
      </c>
      <c r="B6" s="27" t="s">
        <v>235</v>
      </c>
      <c r="C6" s="27" t="s">
        <v>236</v>
      </c>
      <c r="D6" s="27" t="s">
        <v>237</v>
      </c>
      <c r="E6" s="27" t="s">
        <v>238</v>
      </c>
    </row>
    <row r="7" customFormat="false" ht="30" hidden="false" customHeight="true" outlineLevel="0" collapsed="false">
      <c r="A7" s="27" t="s">
        <v>239</v>
      </c>
      <c r="B7" s="27" t="s">
        <v>5</v>
      </c>
      <c r="C7" s="27" t="s">
        <v>240</v>
      </c>
      <c r="D7" s="43" t="n">
        <v>21.3</v>
      </c>
      <c r="E7" s="27" t="s">
        <v>241</v>
      </c>
    </row>
    <row r="8" customFormat="false" ht="30" hidden="false" customHeight="true" outlineLevel="0" collapsed="false">
      <c r="A8" s="27" t="s">
        <v>242</v>
      </c>
      <c r="B8" s="27" t="s">
        <v>5</v>
      </c>
      <c r="C8" s="27" t="s">
        <v>243</v>
      </c>
      <c r="D8" s="43" t="n">
        <v>26.9</v>
      </c>
      <c r="E8" s="27" t="s">
        <v>241</v>
      </c>
    </row>
    <row r="9" customFormat="false" ht="30" hidden="false" customHeight="true" outlineLevel="0" collapsed="false">
      <c r="A9" s="27" t="s">
        <v>244</v>
      </c>
      <c r="B9" s="27" t="s">
        <v>5</v>
      </c>
      <c r="C9" s="27" t="s">
        <v>245</v>
      </c>
      <c r="D9" s="43" t="n">
        <v>33.7</v>
      </c>
      <c r="E9" s="27" t="s">
        <v>241</v>
      </c>
    </row>
    <row r="10" customFormat="false" ht="30" hidden="false" customHeight="true" outlineLevel="0" collapsed="false">
      <c r="A10" s="27" t="s">
        <v>246</v>
      </c>
      <c r="B10" s="27" t="s">
        <v>5</v>
      </c>
      <c r="C10" s="27" t="s">
        <v>247</v>
      </c>
      <c r="D10" s="43" t="n">
        <v>42.4</v>
      </c>
      <c r="E10" s="27" t="s">
        <v>241</v>
      </c>
    </row>
    <row r="11" customFormat="false" ht="30" hidden="false" customHeight="true" outlineLevel="0" collapsed="false">
      <c r="A11" s="27" t="s">
        <v>248</v>
      </c>
      <c r="B11" s="27" t="s">
        <v>5</v>
      </c>
      <c r="C11" s="27" t="s">
        <v>249</v>
      </c>
      <c r="D11" s="43" t="n">
        <v>48.3</v>
      </c>
      <c r="E11" s="27" t="s">
        <v>241</v>
      </c>
    </row>
    <row r="12" customFormat="false" ht="30" hidden="false" customHeight="true" outlineLevel="0" collapsed="false">
      <c r="A12" s="27" t="s">
        <v>250</v>
      </c>
      <c r="B12" s="27" t="s">
        <v>5</v>
      </c>
      <c r="C12" s="27" t="s">
        <v>251</v>
      </c>
      <c r="D12" s="43" t="n">
        <v>60.3</v>
      </c>
      <c r="E12" s="27" t="s">
        <v>241</v>
      </c>
    </row>
    <row r="13" customFormat="false" ht="30" hidden="false" customHeight="true" outlineLevel="0" collapsed="false">
      <c r="A13" s="27" t="s">
        <v>252</v>
      </c>
      <c r="B13" s="27" t="s">
        <v>5</v>
      </c>
      <c r="C13" s="27" t="s">
        <v>253</v>
      </c>
      <c r="D13" s="43" t="n">
        <v>76.1</v>
      </c>
      <c r="E13" s="27" t="s">
        <v>241</v>
      </c>
    </row>
    <row r="14" customFormat="false" ht="30" hidden="false" customHeight="true" outlineLevel="0" collapsed="false">
      <c r="A14" s="27" t="s">
        <v>254</v>
      </c>
      <c r="B14" s="27" t="s">
        <v>5</v>
      </c>
      <c r="C14" s="27" t="s">
        <v>8</v>
      </c>
      <c r="D14" s="43" t="n">
        <v>88.9</v>
      </c>
      <c r="E14" s="27" t="s">
        <v>241</v>
      </c>
    </row>
    <row r="15" customFormat="false" ht="30" hidden="false" customHeight="true" outlineLevel="0" collapsed="false">
      <c r="A15" s="27" t="s">
        <v>255</v>
      </c>
      <c r="B15" s="27" t="s">
        <v>5</v>
      </c>
      <c r="C15" s="27" t="s">
        <v>256</v>
      </c>
      <c r="D15" s="43" t="n">
        <v>114.3</v>
      </c>
      <c r="E15" s="27" t="s">
        <v>241</v>
      </c>
    </row>
    <row r="16" customFormat="false" ht="30" hidden="false" customHeight="true" outlineLevel="0" collapsed="false">
      <c r="A16" s="27" t="s">
        <v>257</v>
      </c>
      <c r="B16" s="27" t="s">
        <v>5</v>
      </c>
      <c r="C16" s="27" t="s">
        <v>258</v>
      </c>
      <c r="D16" s="43" t="n">
        <v>139.7</v>
      </c>
      <c r="E16" s="27" t="s">
        <v>241</v>
      </c>
    </row>
    <row r="17" customFormat="false" ht="30" hidden="false" customHeight="true" outlineLevel="0" collapsed="false">
      <c r="A17" s="27" t="s">
        <v>259</v>
      </c>
      <c r="B17" s="27" t="s">
        <v>5</v>
      </c>
      <c r="C17" s="27" t="s">
        <v>260</v>
      </c>
      <c r="D17" s="43" t="n">
        <v>168.3</v>
      </c>
      <c r="E17" s="27" t="s">
        <v>241</v>
      </c>
    </row>
    <row r="18" customFormat="false" ht="30" hidden="false" customHeight="true" outlineLevel="0" collapsed="false">
      <c r="A18" s="27" t="s">
        <v>261</v>
      </c>
      <c r="B18" s="27" t="s">
        <v>5</v>
      </c>
      <c r="C18" s="27" t="s">
        <v>262</v>
      </c>
      <c r="D18" s="43" t="n">
        <v>219.1</v>
      </c>
      <c r="E18" s="27" t="s">
        <v>241</v>
      </c>
    </row>
    <row r="19" customFormat="false" ht="30" hidden="false" customHeight="true" outlineLevel="0" collapsed="false">
      <c r="A19" s="27" t="s">
        <v>263</v>
      </c>
      <c r="B19" s="27" t="s">
        <v>5</v>
      </c>
      <c r="C19" s="27" t="s">
        <v>264</v>
      </c>
      <c r="D19" s="43" t="n">
        <v>273</v>
      </c>
      <c r="E19" s="27" t="s">
        <v>241</v>
      </c>
    </row>
    <row r="20" customFormat="false" ht="30" hidden="false" customHeight="true" outlineLevel="0" collapsed="false">
      <c r="A20" s="27" t="s">
        <v>265</v>
      </c>
      <c r="B20" s="27" t="s">
        <v>5</v>
      </c>
      <c r="C20" s="27" t="s">
        <v>266</v>
      </c>
      <c r="D20" s="43" t="n">
        <v>323.9</v>
      </c>
      <c r="E20" s="27" t="s">
        <v>241</v>
      </c>
    </row>
    <row r="21" customFormat="false" ht="30" hidden="false" customHeight="true" outlineLevel="0" collapsed="false">
      <c r="A21" s="27" t="s">
        <v>267</v>
      </c>
      <c r="B21" s="27" t="s">
        <v>268</v>
      </c>
      <c r="C21" s="27" t="s">
        <v>240</v>
      </c>
      <c r="D21" s="43" t="n">
        <v>21.3</v>
      </c>
      <c r="E21" s="27" t="s">
        <v>241</v>
      </c>
    </row>
    <row r="22" customFormat="false" ht="30" hidden="false" customHeight="true" outlineLevel="0" collapsed="false">
      <c r="A22" s="27" t="s">
        <v>269</v>
      </c>
      <c r="B22" s="27" t="s">
        <v>268</v>
      </c>
      <c r="C22" s="27" t="s">
        <v>243</v>
      </c>
      <c r="D22" s="43" t="n">
        <v>26.9</v>
      </c>
      <c r="E22" s="27" t="s">
        <v>241</v>
      </c>
    </row>
    <row r="23" customFormat="false" ht="30" hidden="false" customHeight="true" outlineLevel="0" collapsed="false">
      <c r="A23" s="27" t="s">
        <v>270</v>
      </c>
      <c r="B23" s="27" t="s">
        <v>268</v>
      </c>
      <c r="C23" s="27" t="s">
        <v>245</v>
      </c>
      <c r="D23" s="43" t="n">
        <v>33.7</v>
      </c>
      <c r="E23" s="27" t="s">
        <v>241</v>
      </c>
    </row>
    <row r="24" customFormat="false" ht="30" hidden="false" customHeight="true" outlineLevel="0" collapsed="false">
      <c r="A24" s="27" t="s">
        <v>271</v>
      </c>
      <c r="B24" s="27" t="s">
        <v>268</v>
      </c>
      <c r="C24" s="27" t="s">
        <v>247</v>
      </c>
      <c r="D24" s="43" t="n">
        <v>42.4</v>
      </c>
      <c r="E24" s="27" t="s">
        <v>241</v>
      </c>
    </row>
    <row r="25" customFormat="false" ht="30" hidden="false" customHeight="true" outlineLevel="0" collapsed="false">
      <c r="A25" s="27" t="s">
        <v>272</v>
      </c>
      <c r="B25" s="27" t="s">
        <v>268</v>
      </c>
      <c r="C25" s="27" t="s">
        <v>249</v>
      </c>
      <c r="D25" s="43" t="n">
        <v>48.3</v>
      </c>
      <c r="E25" s="27" t="s">
        <v>241</v>
      </c>
    </row>
    <row r="26" customFormat="false" ht="30" hidden="false" customHeight="true" outlineLevel="0" collapsed="false">
      <c r="A26" s="27" t="s">
        <v>273</v>
      </c>
      <c r="B26" s="27" t="s">
        <v>268</v>
      </c>
      <c r="C26" s="27" t="s">
        <v>251</v>
      </c>
      <c r="D26" s="43" t="n">
        <v>60.3</v>
      </c>
      <c r="E26" s="27" t="s">
        <v>241</v>
      </c>
    </row>
    <row r="27" customFormat="false" ht="30" hidden="false" customHeight="true" outlineLevel="0" collapsed="false">
      <c r="A27" s="27" t="s">
        <v>274</v>
      </c>
      <c r="B27" s="27" t="s">
        <v>268</v>
      </c>
      <c r="C27" s="27" t="s">
        <v>253</v>
      </c>
      <c r="D27" s="43" t="n">
        <v>76.1</v>
      </c>
      <c r="E27" s="27" t="s">
        <v>241</v>
      </c>
    </row>
    <row r="28" customFormat="false" ht="30" hidden="false" customHeight="true" outlineLevel="0" collapsed="false">
      <c r="A28" s="27" t="s">
        <v>275</v>
      </c>
      <c r="B28" s="27" t="s">
        <v>268</v>
      </c>
      <c r="C28" s="27" t="s">
        <v>8</v>
      </c>
      <c r="D28" s="43" t="n">
        <v>88.9</v>
      </c>
      <c r="E28" s="27" t="s">
        <v>241</v>
      </c>
    </row>
    <row r="29" customFormat="false" ht="30" hidden="false" customHeight="true" outlineLevel="0" collapsed="false">
      <c r="A29" s="27" t="s">
        <v>276</v>
      </c>
      <c r="B29" s="27" t="s">
        <v>268</v>
      </c>
      <c r="C29" s="27" t="s">
        <v>256</v>
      </c>
      <c r="D29" s="43" t="n">
        <v>114.3</v>
      </c>
      <c r="E29" s="27" t="s">
        <v>241</v>
      </c>
    </row>
    <row r="30" customFormat="false" ht="30" hidden="false" customHeight="true" outlineLevel="0" collapsed="false">
      <c r="A30" s="27" t="s">
        <v>277</v>
      </c>
      <c r="B30" s="27" t="s">
        <v>268</v>
      </c>
      <c r="C30" s="27" t="s">
        <v>258</v>
      </c>
      <c r="D30" s="43" t="n">
        <v>139.7</v>
      </c>
      <c r="E30" s="27" t="s">
        <v>241</v>
      </c>
    </row>
    <row r="31" customFormat="false" ht="30" hidden="false" customHeight="true" outlineLevel="0" collapsed="false">
      <c r="A31" s="27" t="s">
        <v>278</v>
      </c>
      <c r="B31" s="27" t="s">
        <v>268</v>
      </c>
      <c r="C31" s="27" t="s">
        <v>260</v>
      </c>
      <c r="D31" s="43" t="n">
        <v>168.3</v>
      </c>
      <c r="E31" s="27" t="s">
        <v>241</v>
      </c>
    </row>
    <row r="32" customFormat="false" ht="30" hidden="false" customHeight="true" outlineLevel="0" collapsed="false">
      <c r="A32" s="27" t="s">
        <v>279</v>
      </c>
      <c r="B32" s="27" t="s">
        <v>268</v>
      </c>
      <c r="C32" s="27" t="s">
        <v>262</v>
      </c>
      <c r="D32" s="43" t="n">
        <v>219.1</v>
      </c>
      <c r="E32" s="27" t="s">
        <v>241</v>
      </c>
    </row>
    <row r="33" customFormat="false" ht="30" hidden="false" customHeight="true" outlineLevel="0" collapsed="false">
      <c r="A33" s="27" t="s">
        <v>280</v>
      </c>
      <c r="B33" s="27" t="s">
        <v>268</v>
      </c>
      <c r="C33" s="27" t="s">
        <v>264</v>
      </c>
      <c r="D33" s="43" t="n">
        <v>273</v>
      </c>
      <c r="E33" s="27" t="s">
        <v>241</v>
      </c>
    </row>
    <row r="34" customFormat="false" ht="30" hidden="false" customHeight="true" outlineLevel="0" collapsed="false">
      <c r="A34" s="27" t="s">
        <v>281</v>
      </c>
      <c r="B34" s="27" t="s">
        <v>268</v>
      </c>
      <c r="C34" s="27" t="s">
        <v>266</v>
      </c>
      <c r="D34" s="43" t="n">
        <v>323.9</v>
      </c>
      <c r="E34" s="27" t="s">
        <v>241</v>
      </c>
    </row>
    <row r="35" customFormat="false" ht="30" hidden="false" customHeight="true" outlineLevel="0" collapsed="false">
      <c r="A35" s="27" t="s">
        <v>282</v>
      </c>
      <c r="B35" s="27" t="s">
        <v>283</v>
      </c>
      <c r="C35" s="27" t="s">
        <v>284</v>
      </c>
      <c r="D35" s="43" t="n">
        <v>20</v>
      </c>
      <c r="E35" s="27" t="s">
        <v>285</v>
      </c>
    </row>
    <row r="36" customFormat="false" ht="30" hidden="false" customHeight="true" outlineLevel="0" collapsed="false">
      <c r="A36" s="27" t="s">
        <v>286</v>
      </c>
      <c r="B36" s="27" t="s">
        <v>283</v>
      </c>
      <c r="C36" s="27" t="s">
        <v>287</v>
      </c>
      <c r="D36" s="43" t="n">
        <v>25</v>
      </c>
      <c r="E36" s="27" t="s">
        <v>285</v>
      </c>
    </row>
    <row r="37" customFormat="false" ht="30" hidden="false" customHeight="true" outlineLevel="0" collapsed="false">
      <c r="A37" s="27" t="s">
        <v>288</v>
      </c>
      <c r="B37" s="27" t="s">
        <v>283</v>
      </c>
      <c r="C37" s="27" t="s">
        <v>289</v>
      </c>
      <c r="D37" s="43" t="n">
        <v>32</v>
      </c>
      <c r="E37" s="27" t="s">
        <v>285</v>
      </c>
    </row>
    <row r="38" customFormat="false" ht="30" hidden="false" customHeight="true" outlineLevel="0" collapsed="false">
      <c r="A38" s="27" t="s">
        <v>290</v>
      </c>
      <c r="B38" s="27" t="s">
        <v>283</v>
      </c>
      <c r="C38" s="27" t="s">
        <v>291</v>
      </c>
      <c r="D38" s="43" t="n">
        <v>40</v>
      </c>
      <c r="E38" s="27" t="s">
        <v>285</v>
      </c>
    </row>
    <row r="39" customFormat="false" ht="30" hidden="false" customHeight="true" outlineLevel="0" collapsed="false">
      <c r="A39" s="27" t="s">
        <v>292</v>
      </c>
      <c r="B39" s="27" t="s">
        <v>283</v>
      </c>
      <c r="C39" s="27" t="s">
        <v>293</v>
      </c>
      <c r="D39" s="43" t="n">
        <v>50</v>
      </c>
      <c r="E39" s="27" t="s">
        <v>285</v>
      </c>
    </row>
    <row r="40" customFormat="false" ht="30" hidden="false" customHeight="true" outlineLevel="0" collapsed="false">
      <c r="A40" s="27" t="s">
        <v>294</v>
      </c>
      <c r="B40" s="27" t="s">
        <v>283</v>
      </c>
      <c r="C40" s="27" t="s">
        <v>295</v>
      </c>
      <c r="D40" s="43" t="n">
        <v>63</v>
      </c>
      <c r="E40" s="27" t="s">
        <v>285</v>
      </c>
    </row>
    <row r="41" customFormat="false" ht="30" hidden="false" customHeight="true" outlineLevel="0" collapsed="false">
      <c r="A41" s="27" t="s">
        <v>296</v>
      </c>
      <c r="B41" s="27" t="s">
        <v>283</v>
      </c>
      <c r="C41" s="27" t="s">
        <v>297</v>
      </c>
      <c r="D41" s="43" t="n">
        <v>75</v>
      </c>
      <c r="E41" s="27" t="s">
        <v>285</v>
      </c>
    </row>
    <row r="42" customFormat="false" ht="30" hidden="false" customHeight="true" outlineLevel="0" collapsed="false">
      <c r="A42" s="27" t="s">
        <v>298</v>
      </c>
      <c r="B42" s="27" t="s">
        <v>283</v>
      </c>
      <c r="C42" s="27" t="s">
        <v>299</v>
      </c>
      <c r="D42" s="43" t="n">
        <v>90</v>
      </c>
      <c r="E42" s="27" t="s">
        <v>285</v>
      </c>
    </row>
    <row r="43" customFormat="false" ht="30" hidden="false" customHeight="true" outlineLevel="0" collapsed="false">
      <c r="A43" s="27" t="s">
        <v>300</v>
      </c>
      <c r="B43" s="27" t="s">
        <v>283</v>
      </c>
      <c r="C43" s="27" t="s">
        <v>301</v>
      </c>
      <c r="D43" s="43" t="n">
        <v>110</v>
      </c>
      <c r="E43" s="27" t="s">
        <v>285</v>
      </c>
    </row>
    <row r="44" customFormat="false" ht="30" hidden="false" customHeight="true" outlineLevel="0" collapsed="false">
      <c r="A44" s="27" t="s">
        <v>302</v>
      </c>
      <c r="B44" s="27" t="s">
        <v>283</v>
      </c>
      <c r="C44" s="27" t="s">
        <v>303</v>
      </c>
      <c r="D44" s="43" t="n">
        <v>125</v>
      </c>
      <c r="E44" s="27" t="s">
        <v>285</v>
      </c>
    </row>
    <row r="45" customFormat="false" ht="30" hidden="false" customHeight="true" outlineLevel="0" collapsed="false">
      <c r="A45" s="27" t="s">
        <v>304</v>
      </c>
      <c r="B45" s="27" t="s">
        <v>283</v>
      </c>
      <c r="C45" s="27" t="s">
        <v>305</v>
      </c>
      <c r="D45" s="43" t="n">
        <v>140</v>
      </c>
      <c r="E45" s="27" t="s">
        <v>285</v>
      </c>
    </row>
    <row r="46" customFormat="false" ht="30" hidden="false" customHeight="true" outlineLevel="0" collapsed="false">
      <c r="A46" s="27" t="s">
        <v>306</v>
      </c>
      <c r="B46" s="27" t="s">
        <v>283</v>
      </c>
      <c r="C46" s="27" t="s">
        <v>307</v>
      </c>
      <c r="D46" s="43" t="n">
        <v>160</v>
      </c>
      <c r="E46" s="27" t="s">
        <v>285</v>
      </c>
    </row>
    <row r="47" customFormat="false" ht="30" hidden="false" customHeight="true" outlineLevel="0" collapsed="false">
      <c r="A47" s="27" t="s">
        <v>308</v>
      </c>
      <c r="B47" s="27" t="s">
        <v>283</v>
      </c>
      <c r="C47" s="27" t="s">
        <v>309</v>
      </c>
      <c r="D47" s="43" t="n">
        <v>180</v>
      </c>
      <c r="E47" s="27" t="s">
        <v>285</v>
      </c>
    </row>
    <row r="48" customFormat="false" ht="30" hidden="false" customHeight="true" outlineLevel="0" collapsed="false">
      <c r="A48" s="27" t="s">
        <v>310</v>
      </c>
      <c r="B48" s="27" t="s">
        <v>283</v>
      </c>
      <c r="C48" s="27" t="s">
        <v>311</v>
      </c>
      <c r="D48" s="43" t="n">
        <v>200</v>
      </c>
      <c r="E48" s="27" t="s">
        <v>285</v>
      </c>
    </row>
    <row r="49" customFormat="false" ht="30" hidden="false" customHeight="true" outlineLevel="0" collapsed="false">
      <c r="A49" s="27" t="s">
        <v>312</v>
      </c>
      <c r="B49" s="27" t="s">
        <v>283</v>
      </c>
      <c r="C49" s="27" t="s">
        <v>313</v>
      </c>
      <c r="D49" s="43" t="n">
        <v>225</v>
      </c>
      <c r="E49" s="27" t="s">
        <v>285</v>
      </c>
    </row>
    <row r="50" customFormat="false" ht="30" hidden="false" customHeight="true" outlineLevel="0" collapsed="false">
      <c r="A50" s="27" t="s">
        <v>314</v>
      </c>
      <c r="B50" s="27" t="s">
        <v>283</v>
      </c>
      <c r="C50" s="27" t="s">
        <v>315</v>
      </c>
      <c r="D50" s="43" t="n">
        <v>250</v>
      </c>
      <c r="E50" s="27" t="s">
        <v>285</v>
      </c>
    </row>
    <row r="51" customFormat="false" ht="30" hidden="false" customHeight="true" outlineLevel="0" collapsed="false">
      <c r="A51" s="27" t="s">
        <v>316</v>
      </c>
      <c r="B51" s="27" t="s">
        <v>283</v>
      </c>
      <c r="C51" s="27" t="s">
        <v>317</v>
      </c>
      <c r="D51" s="43" t="n">
        <v>280</v>
      </c>
      <c r="E51" s="27" t="s">
        <v>285</v>
      </c>
    </row>
    <row r="52" customFormat="false" ht="30" hidden="false" customHeight="true" outlineLevel="0" collapsed="false">
      <c r="A52" s="27" t="s">
        <v>318</v>
      </c>
      <c r="B52" s="27" t="s">
        <v>283</v>
      </c>
      <c r="C52" s="27" t="s">
        <v>319</v>
      </c>
      <c r="D52" s="43" t="n">
        <v>315</v>
      </c>
      <c r="E52" s="27" t="s">
        <v>285</v>
      </c>
    </row>
    <row r="53" customFormat="false" ht="22.5" hidden="false" customHeight="true" outlineLevel="0" collapsed="false"/>
    <row r="54" customFormat="false" ht="22.5" hidden="false" customHeight="true" outlineLevel="0" collapsed="false"/>
  </sheetData>
  <autoFilter ref="A6:E52"/>
  <mergeCells count="2">
    <mergeCell ref="A1:E2"/>
    <mergeCell ref="A3:E3"/>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7"/>
    <col collapsed="false" customWidth="true" hidden="false" outlineLevel="0" max="2" min="2" style="0" width="33"/>
    <col collapsed="false" customWidth="true" hidden="false" outlineLevel="0" max="3" min="3" style="0" width="20"/>
    <col collapsed="false" customWidth="true" hidden="false" outlineLevel="0" max="4" min="4" style="0" width="45"/>
    <col collapsed="false" customWidth="true" hidden="false" outlineLevel="0" max="5" min="5" style="0" width="65"/>
  </cols>
  <sheetData>
    <row r="1" customFormat="false" ht="22.5" hidden="false" customHeight="true" outlineLevel="0" collapsed="false">
      <c r="A1" s="1" t="s">
        <v>320</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321</v>
      </c>
      <c r="B3" s="2"/>
      <c r="C3" s="2"/>
      <c r="D3" s="2"/>
      <c r="E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322</v>
      </c>
      <c r="B6" s="27" t="s">
        <v>323</v>
      </c>
      <c r="C6" s="27" t="s">
        <v>324</v>
      </c>
      <c r="D6" s="27" t="s">
        <v>325</v>
      </c>
      <c r="E6" s="27" t="s">
        <v>112</v>
      </c>
    </row>
    <row r="7" customFormat="false" ht="45" hidden="false" customHeight="true" outlineLevel="0" collapsed="false">
      <c r="A7" s="27" t="s">
        <v>18</v>
      </c>
      <c r="B7" s="27" t="s">
        <v>326</v>
      </c>
      <c r="C7" s="14" t="n">
        <v>0.045</v>
      </c>
      <c r="D7" s="27" t="s">
        <v>327</v>
      </c>
      <c r="E7" s="27" t="s">
        <v>328</v>
      </c>
    </row>
    <row r="8" customFormat="false" ht="45" hidden="false" customHeight="true" outlineLevel="0" collapsed="false">
      <c r="A8" s="27" t="s">
        <v>329</v>
      </c>
      <c r="B8" s="27" t="s">
        <v>330</v>
      </c>
      <c r="C8" s="14" t="n">
        <v>0.045</v>
      </c>
      <c r="D8" s="27" t="s">
        <v>327</v>
      </c>
      <c r="E8" s="27" t="s">
        <v>328</v>
      </c>
    </row>
    <row r="9" customFormat="false" ht="45" hidden="false" customHeight="true" outlineLevel="0" collapsed="false">
      <c r="A9" s="27" t="s">
        <v>331</v>
      </c>
      <c r="B9" s="27" t="s">
        <v>332</v>
      </c>
      <c r="C9" s="14" t="n">
        <v>0.045</v>
      </c>
      <c r="D9" s="27" t="s">
        <v>333</v>
      </c>
      <c r="E9" s="27" t="s">
        <v>334</v>
      </c>
    </row>
    <row r="10" customFormat="false" ht="45" hidden="false" customHeight="true" outlineLevel="0" collapsed="false">
      <c r="A10" s="27" t="s">
        <v>335</v>
      </c>
      <c r="B10" s="27" t="s">
        <v>336</v>
      </c>
      <c r="C10" s="14" t="n">
        <v>0.015</v>
      </c>
      <c r="D10" s="27" t="s">
        <v>337</v>
      </c>
      <c r="E10" s="27" t="s">
        <v>338</v>
      </c>
    </row>
    <row r="11" customFormat="false" ht="45" hidden="false" customHeight="true" outlineLevel="0" collapsed="false">
      <c r="A11" s="27" t="s">
        <v>339</v>
      </c>
      <c r="B11" s="27" t="s">
        <v>340</v>
      </c>
      <c r="C11" s="14" t="n">
        <v>0.015</v>
      </c>
      <c r="D11" s="27" t="s">
        <v>337</v>
      </c>
      <c r="E11" s="27" t="s">
        <v>338</v>
      </c>
    </row>
    <row r="12" customFormat="false" ht="45" hidden="false" customHeight="true" outlineLevel="0" collapsed="false">
      <c r="A12" s="27" t="s">
        <v>341</v>
      </c>
      <c r="B12" s="27" t="s">
        <v>342</v>
      </c>
      <c r="C12" s="14" t="n">
        <v>0.015</v>
      </c>
      <c r="D12" s="27" t="s">
        <v>337</v>
      </c>
      <c r="E12" s="27" t="s">
        <v>343</v>
      </c>
    </row>
    <row r="13" customFormat="false" ht="22.5" hidden="false" customHeight="true" outlineLevel="0" collapsed="false"/>
    <row r="14" customFormat="false" ht="22.5" hidden="false" customHeight="true" outlineLevel="0" collapsed="false"/>
    <row r="15" customFormat="false" ht="22.5" hidden="false" customHeight="true" outlineLevel="0" collapsed="false">
      <c r="A15" s="44" t="s">
        <v>344</v>
      </c>
      <c r="B15" s="44"/>
      <c r="C15" s="44"/>
      <c r="D15" s="44"/>
      <c r="E15" s="44"/>
    </row>
    <row r="16" customFormat="false" ht="22.5" hidden="false" customHeight="true" outlineLevel="0" collapsed="false">
      <c r="A16" s="44"/>
      <c r="B16" s="44"/>
      <c r="C16" s="44"/>
      <c r="D16" s="44"/>
      <c r="E16" s="44"/>
    </row>
    <row r="17" customFormat="false" ht="22.5" hidden="false" customHeight="true" outlineLevel="0" collapsed="false"/>
    <row r="18" customFormat="false" ht="22.5" hidden="false" customHeight="true" outlineLevel="0" collapsed="false">
      <c r="A18" s="33" t="s">
        <v>345</v>
      </c>
      <c r="B18" s="33"/>
      <c r="C18" s="33"/>
      <c r="D18" s="33"/>
      <c r="E18" s="33"/>
    </row>
    <row r="19" customFormat="false" ht="22.5" hidden="false" customHeight="true" outlineLevel="0" collapsed="false">
      <c r="A19" s="33"/>
      <c r="B19" s="33"/>
      <c r="C19" s="33"/>
      <c r="D19" s="33"/>
      <c r="E19" s="33"/>
    </row>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4">
    <mergeCell ref="A1:E2"/>
    <mergeCell ref="A3:E3"/>
    <mergeCell ref="A15:E16"/>
    <mergeCell ref="A18:E19"/>
  </mergeCell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D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26"/>
    <col collapsed="false" customWidth="true" hidden="false" outlineLevel="0" max="4" min="4" style="0" width="90"/>
  </cols>
  <sheetData>
    <row r="1" customFormat="false" ht="22.5" hidden="false" customHeight="true" outlineLevel="0" collapsed="false">
      <c r="A1" s="1" t="s">
        <v>346</v>
      </c>
      <c r="B1" s="1"/>
      <c r="C1" s="1"/>
      <c r="D1" s="1"/>
    </row>
    <row r="2" customFormat="false" ht="22.5" hidden="false" customHeight="true" outlineLevel="0" collapsed="false">
      <c r="A2" s="1"/>
      <c r="B2" s="1"/>
      <c r="C2" s="1"/>
      <c r="D2" s="1"/>
    </row>
    <row r="3" customFormat="false" ht="22.5" hidden="false" customHeight="true" outlineLevel="0" collapsed="false">
      <c r="A3" s="2" t="s">
        <v>347</v>
      </c>
      <c r="B3" s="2"/>
      <c r="C3" s="2"/>
      <c r="D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348</v>
      </c>
      <c r="B6" s="27" t="s">
        <v>349</v>
      </c>
      <c r="C6" s="27" t="s">
        <v>350</v>
      </c>
      <c r="D6" s="27" t="s">
        <v>351</v>
      </c>
    </row>
    <row r="7" customFormat="false" ht="33.75" hidden="false" customHeight="true" outlineLevel="0" collapsed="false">
      <c r="A7" s="27" t="s">
        <v>352</v>
      </c>
      <c r="B7" s="14" t="n">
        <v>999.97</v>
      </c>
      <c r="C7" s="14" t="n">
        <v>1.519</v>
      </c>
      <c r="D7" s="27" t="s">
        <v>353</v>
      </c>
    </row>
    <row r="8" customFormat="false" ht="33.75" hidden="false" customHeight="true" outlineLevel="0" collapsed="false">
      <c r="A8" s="27" t="s">
        <v>36</v>
      </c>
      <c r="B8" s="14" t="n">
        <v>998.2</v>
      </c>
      <c r="C8" s="14" t="n">
        <v>1.002</v>
      </c>
      <c r="D8" s="27" t="s">
        <v>353</v>
      </c>
    </row>
    <row r="9" customFormat="false" ht="33.75" hidden="false" customHeight="true" outlineLevel="0" collapsed="false">
      <c r="A9" s="27" t="s">
        <v>354</v>
      </c>
      <c r="B9" s="14" t="n">
        <v>992.2</v>
      </c>
      <c r="C9" s="14" t="n">
        <v>0.653</v>
      </c>
      <c r="D9" s="27" t="s">
        <v>353</v>
      </c>
    </row>
    <row r="10" customFormat="false" ht="33.75" hidden="false" customHeight="true" outlineLevel="0" collapsed="false">
      <c r="A10" s="27" t="s">
        <v>355</v>
      </c>
      <c r="B10" s="14" t="n">
        <v>983.2</v>
      </c>
      <c r="C10" s="14" t="n">
        <v>0.466</v>
      </c>
      <c r="D10" s="27" t="s">
        <v>353</v>
      </c>
    </row>
    <row r="11" customFormat="false" ht="33.75" hidden="false" customHeight="true" outlineLevel="0" collapsed="false">
      <c r="A11" s="27" t="s">
        <v>356</v>
      </c>
      <c r="B11" s="14" t="n">
        <v>971.8</v>
      </c>
      <c r="C11" s="14" t="n">
        <v>0.354</v>
      </c>
      <c r="D11" s="27" t="s">
        <v>353</v>
      </c>
    </row>
    <row r="12" customFormat="false" ht="33.75" hidden="false" customHeight="true" outlineLevel="0" collapsed="false">
      <c r="A12" s="27" t="s">
        <v>357</v>
      </c>
      <c r="B12" s="14" t="n">
        <v>850</v>
      </c>
      <c r="C12" s="14" t="n">
        <v>27.2</v>
      </c>
      <c r="D12" s="27" t="s">
        <v>358</v>
      </c>
    </row>
    <row r="13" customFormat="false" ht="33.75" hidden="false" customHeight="true" outlineLevel="0" collapsed="false">
      <c r="A13" s="27" t="s">
        <v>359</v>
      </c>
      <c r="B13" s="14" t="n">
        <v>0</v>
      </c>
      <c r="C13" s="14" t="n">
        <v>0</v>
      </c>
      <c r="D13" s="27" t="s">
        <v>360</v>
      </c>
    </row>
    <row r="14" customFormat="false" ht="22.5" hidden="false" customHeight="true" outlineLevel="0" collapsed="false"/>
    <row r="15" customFormat="false" ht="22.5" hidden="false" customHeight="true" outlineLevel="0" collapsed="false"/>
    <row r="16" customFormat="false" ht="22.5" hidden="false" customHeight="true" outlineLevel="0" collapsed="false">
      <c r="A16" s="44" t="s">
        <v>361</v>
      </c>
      <c r="B16" s="44"/>
      <c r="C16" s="44"/>
      <c r="D16" s="44"/>
    </row>
    <row r="17" customFormat="false" ht="22.5" hidden="false" customHeight="true" outlineLevel="0" collapsed="false">
      <c r="A17" s="44"/>
      <c r="B17" s="44"/>
      <c r="C17" s="44"/>
      <c r="D17" s="44"/>
    </row>
    <row r="18" customFormat="false" ht="22.5" hidden="false" customHeight="true" outlineLevel="0" collapsed="false"/>
    <row r="19" customFormat="false" ht="22.5" hidden="false" customHeight="true" outlineLevel="0" collapsed="false"/>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3">
    <mergeCell ref="A1:D2"/>
    <mergeCell ref="A3:D3"/>
    <mergeCell ref="A16:D17"/>
  </mergeCell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17589"/>
    <pageSetUpPr fitToPage="fals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5"/>
    <col collapsed="false" customWidth="true" hidden="false" outlineLevel="0" max="2" min="2" style="0" width="31"/>
    <col collapsed="false" customWidth="true" hidden="false" outlineLevel="0" max="3" min="3" style="0" width="18"/>
    <col collapsed="false" customWidth="true" hidden="false" outlineLevel="0" max="4" min="4" style="0" width="35"/>
    <col collapsed="false" customWidth="true" hidden="false" outlineLevel="0" max="5" min="5" style="0" width="25"/>
  </cols>
  <sheetData>
    <row r="1" customFormat="false" ht="15" hidden="false" customHeight="true" outlineLevel="0" collapsed="false">
      <c r="A1" s="45" t="s">
        <v>362</v>
      </c>
      <c r="B1" s="45"/>
      <c r="C1" s="45"/>
      <c r="D1" s="45"/>
      <c r="E1" s="45"/>
    </row>
    <row r="2" customFormat="false" ht="15" hidden="false" customHeight="false" outlineLevel="0" collapsed="false">
      <c r="A2" s="45"/>
      <c r="B2" s="45"/>
      <c r="C2" s="45"/>
      <c r="D2" s="45"/>
      <c r="E2" s="45"/>
    </row>
    <row r="3" customFormat="false" ht="84.75" hidden="false" customHeight="true" outlineLevel="0" collapsed="false">
      <c r="A3" s="27" t="s">
        <v>363</v>
      </c>
      <c r="B3" s="27" t="str">
        <f aca="false">IFERROR(IF(COUNTIF(Rorserier,Trykkberegning!E6)=0,"FEIL: velg en gyldig rørserie.",IF(COUNTIF(Materialvalg,Trykkberegning!E13)=0,"FEIL: velg materiale.",IF(COUNTIF(ENStandarder,Trykkberegning!E14)=0,"FEIL: velg EN-produktstandard.",IF(AND(Trykkberegning!E14&lt;&gt;"Annen / dokumentert",ISERROR(SEARCH("|"&amp;Trykkberegning!E14&amp;"|",VLOOKUP(Trykkberegning!E13,Materialdata,4,FALSE())))),"FEIL: EN-produktstandard passer ikke materialvalget. Se Materialer.",IF(COUNTIF(Medievalg,Trykkberegning!E20)=0,"FEIL: velg medium.",IF(OR(NOT(ISNUMBER(Trykkberegning!E21)),Trykkberegning!E21&lt;=0,NOT(ISNUMBER(Trykkberegning!E22)),Trykkberegning!E22&lt;=0),"FEIL: tetthet og dynamisk viskositet må være større enn 0.",IF(OR(NOT(ISNUMBER(Trykkberegning!E12)),Trykkberegning!E12&lt;=0),"FEIL: innvendig diameter må være større enn 0. Kontroller dimensjon og veggtykkelse.",IF(AND(Trykkberegning!E11="",OR(NOT(ISNUMBER(Trykkberegning!E10)),Trykkberegning!E10&lt;=0)),"FEIL: oppgi positiv veggtykkelse eller egen innvendig diameter.",IF(OR(NOT(ISNUMBER(Trykkberegning!E8)),Trykkberegning!E8&lt;0,AND(Trykkberegning!E8&gt;0,Trykkberegning!E12&gt;Trykkberegning!E8)),"FEIL: kontroller ytre og indre diameter.",IF(OR(NOT(ISNUMBER(Trykkberegning!E15)),Trykkberegning!E15&lt;0,Trykkberegning!E15&gt;=Trykkberegning!E12),"FEIL: ruhet må være &gt;=0 og mindre enn innvendig diameter.",IF(OR(Trykkberegning!E17="",NOT(ISNUMBER(Trykkberegning!E17)),Trykkberegning!E17&lt;0,Trykkberegning!E17&lt;&gt;INT(Trykkberegning!E17)),"FEIL: flenskoblinger må være et heltall &gt;=0.",IF(AND(Trykkberegning!E17&gt;0,OR(Trykkberegning!E18="",NOT(ISNUMBER(Trykkberegning!E18)),Trykkberegning!E18&lt;0)),"FEIL: oppgi K &gt;=0 per flenskobling.",IF(OR(Trykkberegning!E25="",NOT(ISNUMBER(Trykkberegning!E25)),Trykkberegning!E25&lt;0),"FEIL: volumstrøm må være et tall &gt;=0.",IF(OR(Trykkberegning!E29="",NOT(ISNUMBER(Trykkberegning!E29)),Trykkberegning!E29&lt;0,Trykkberegning!E30="",NOT(ISNUMBER(Trykkberegning!E30)),Trykkberegning!E30&lt;0,Trykkberegning!E31="",NOT(ISNUMBER(Trykkberegning!E31)),Trykkberegning!E31&lt;0),"FEIL: rette meter og høydemeter må være tall &gt;=0.",IF(AND(Trykkberegning!E33&lt;&gt;"",NOT(ISNUMBER(Trykkberegning!E33))),"FEIL: innløpstrykk må være et tall eller tomt.","OK"))))))))))))))),"FEIL: kontroller inndata; tallfelt kan ikke inneholde tekst.")</f>
        <v>OK</v>
      </c>
      <c r="C3" s="27"/>
    </row>
    <row r="4" customFormat="false" ht="84.75" hidden="false" customHeight="true" outlineLevel="0" collapsed="false">
      <c r="A4" s="27" t="s">
        <v>364</v>
      </c>
      <c r="B4" s="27" t="str">
        <f aca="false">IFERROR(IF((IFERROR(IF(B3&lt;&gt;"OK",B3,IF(AND(B14&gt;=2300,B14&lt;4000),"FEIL: Reynolds 2300–4000 er overgangsområde; modellen gir ikke et sikkert resultat.",IF(COUNTIF(Bend!J7:J31,"OK")+COUNTIF(Bend!J7:J31,"Ikke med")&lt;&gt;25,"FEIL: kontroller aktive rader i Bend.",IF(COUNTIF(Ventiler!F7:F31,"OK")+COUNTIF(Ventiler!F7:F31,"Ikke med")&lt;&gt;25,"FEIL: kontroller aktive rader i Ventiler.",IF(COUNTIF(Komponenter!F7:F31,"OK")+COUNTIF(Komponenter!F7:F31,"Ikke med")&lt;&gt;25,"FEIL: kontroller aktive rader i Komponenter.",IF(AND(B7=0,SUM(Ventiler!D7:D31,Komponenter!D7:D31)&gt;0),"FEIL: ved null volumstrøm må komponenttrykkfall være 0.","OK")))))),"FEIL: kontroller beregningsformler."))&lt;&gt;"OK",(IFERROR(IF(B3&lt;&gt;"OK",B3,IF(AND(B14&gt;=2300,B14&lt;4000),"FEIL: Reynolds 2300–4000 er overgangsområde; modellen gir ikke et sikkert resultat.",IF(COUNTIF(Bend!J7:J31,"OK")+COUNTIF(Bend!J7:J31,"Ikke med")&lt;&gt;25,"FEIL: kontroller aktive rader i Bend.",IF(COUNTIF(Ventiler!F7:F31,"OK")+COUNTIF(Ventiler!F7:F31,"Ikke med")&lt;&gt;25,"FEIL: kontroller aktive rader i Ventiler.",IF(COUNTIF(Komponenter!F7:F31,"OK")+COUNTIF(Komponenter!F7:F31,"Ikke med")&lt;&gt;25,"FEIL: kontroller aktive rader i Komponenter.",IF(AND(B7=0,SUM(Ventiler!D7:D31,Komponenter!D7:D31)&gt;0),"FEIL: ved null volumstrøm må komponenttrykkfall være 0.","OK")))))),"FEIL: kontroller beregningsformler.")),IF(AND(Trykkberegning!E34&lt;&gt;"Hoveddimensjon",Trykkberegning!E34&lt;&gt;"Rørstrekk-tabell"),"FEIL: velg beregningsmetode for rette rør.",IF(COUNTIF(Reduksjoner!K7:K31,"OK")+COUNTIF(Reduksjoner!K7:K31,"Ikke med")&lt;&gt;25,"FEIL: kontroller Reduksjoner.",IF(AND(Trykkberegning!E34="Rørstrekk-tabell",COUNTIF(Rørstrekk!I7:I31,"OK")+COUNTIF(Rørstrekk!I7:I31,"Ikke med")&lt;&gt;25),"FEIL: kontroller Rørstrekk.","OK")))),"FEIL: kontroller nye inndata.")</f>
        <v>OK</v>
      </c>
      <c r="C4" s="27"/>
    </row>
    <row r="6" customFormat="false" ht="15" hidden="false" customHeight="false" outlineLevel="0" collapsed="false">
      <c r="A6" s="27" t="s">
        <v>365</v>
      </c>
      <c r="B6" s="35" t="n">
        <v>9.80665</v>
      </c>
      <c r="C6" s="27" t="s">
        <v>366</v>
      </c>
    </row>
    <row r="7" customFormat="false" ht="15" hidden="false" customHeight="false" outlineLevel="0" collapsed="false">
      <c r="A7" s="27" t="s">
        <v>44</v>
      </c>
      <c r="B7" s="35" t="n">
        <f aca="false">IFERROR(IF(B3="OK",Trykkberegning!E25/3600,""),"")</f>
        <v>0.01</v>
      </c>
      <c r="C7" s="27" t="s">
        <v>367</v>
      </c>
    </row>
    <row r="8" customFormat="false" ht="15" hidden="false" customHeight="false" outlineLevel="0" collapsed="false">
      <c r="A8" s="27" t="s">
        <v>368</v>
      </c>
      <c r="B8" s="35" t="n">
        <f aca="false">IFERROR(IF(B3="OK",Trykkberegning!E12/1000,""),"")</f>
        <v>0.0825</v>
      </c>
      <c r="C8" s="27" t="s">
        <v>50</v>
      </c>
    </row>
    <row r="9" customFormat="false" ht="15" hidden="false" customHeight="false" outlineLevel="0" collapsed="false">
      <c r="A9" s="27" t="s">
        <v>369</v>
      </c>
      <c r="B9" s="35" t="n">
        <f aca="false">IFERROR(IF(B3="OK",Trykkberegning!E22/1000,""),"")</f>
        <v>0.001002</v>
      </c>
      <c r="C9" s="27" t="s">
        <v>370</v>
      </c>
    </row>
    <row r="10" customFormat="false" ht="15" hidden="false" customHeight="false" outlineLevel="0" collapsed="false">
      <c r="A10" s="27" t="s">
        <v>371</v>
      </c>
      <c r="B10" s="35" t="n">
        <f aca="false">IFERROR(IF(B3="OK",Trykkberegning!E21,""),"")</f>
        <v>998.2</v>
      </c>
      <c r="C10" s="27" t="s">
        <v>38</v>
      </c>
    </row>
    <row r="11" customFormat="false" ht="15" hidden="false" customHeight="false" outlineLevel="0" collapsed="false">
      <c r="A11" s="27" t="s">
        <v>372</v>
      </c>
      <c r="B11" s="35" t="n">
        <f aca="false">IFERROR(IF(B3="OK",Trykkberegning!E15/1000,""),"")</f>
        <v>4.5E-005</v>
      </c>
      <c r="C11" s="27" t="s">
        <v>50</v>
      </c>
    </row>
    <row r="12" customFormat="false" ht="15" hidden="false" customHeight="false" outlineLevel="0" collapsed="false">
      <c r="A12" s="27" t="s">
        <v>373</v>
      </c>
      <c r="B12" s="35" t="n">
        <f aca="false">IFERROR(IF(B3="OK",PI()*B8^2/4,""),"")</f>
        <v>0.00534561624962388</v>
      </c>
      <c r="C12" s="27" t="s">
        <v>374</v>
      </c>
    </row>
    <row r="13" customFormat="false" ht="15" hidden="false" customHeight="false" outlineLevel="0" collapsed="false">
      <c r="A13" s="27" t="s">
        <v>375</v>
      </c>
      <c r="B13" s="35" t="n">
        <f aca="false">IFERROR(IF(B3="OK",B7/B12,""),"")</f>
        <v>1.87069170943642</v>
      </c>
      <c r="C13" s="27" t="s">
        <v>376</v>
      </c>
    </row>
    <row r="14" customFormat="false" ht="15" hidden="false" customHeight="false" outlineLevel="0" collapsed="false">
      <c r="A14" s="27" t="s">
        <v>377</v>
      </c>
      <c r="B14" s="35" t="n">
        <f aca="false">IFERROR(IF(B3="OK",B10*B13*B8/B9,""),"")</f>
        <v>153746.774760133</v>
      </c>
      <c r="C14" s="27" t="s">
        <v>31</v>
      </c>
    </row>
    <row r="15" customFormat="false" ht="15" hidden="false" customHeight="false" outlineLevel="0" collapsed="false">
      <c r="A15" s="27" t="s">
        <v>378</v>
      </c>
      <c r="B15" s="35" t="n">
        <f aca="false">IFERROR(IF(B3="OK",B11/B8,""),"")</f>
        <v>0.000545454545454545</v>
      </c>
      <c r="C15" s="27" t="s">
        <v>31</v>
      </c>
    </row>
    <row r="16" customFormat="false" ht="15" hidden="false" customHeight="false" outlineLevel="0" collapsed="false">
      <c r="A16" s="27" t="s">
        <v>379</v>
      </c>
      <c r="B16" s="35" t="n">
        <f aca="false">IFERROR(IF(B3="OK",IF(B14=0,0,IF(B14&lt;2300,64/B14,(-1.8*LOG10((B15/3.7)^1.11+6.9/B14))^(-2))),""),"")</f>
        <v>0.0193209862491592</v>
      </c>
      <c r="C16" s="27" t="s">
        <v>31</v>
      </c>
    </row>
    <row r="17" customFormat="false" ht="15" hidden="false" customHeight="false" outlineLevel="0" collapsed="false">
      <c r="A17" s="27" t="s">
        <v>380</v>
      </c>
      <c r="B17" s="35" t="n">
        <f aca="false">IFERROR(IF(B3="OK",IF(B14=0,0,IF(B14&lt;2300,B16,(-2*LOG10(B15/3.7+2.51/(B14*SQRT(B16))))^(-2))),""),"")</f>
        <v>0.0195393516631449</v>
      </c>
      <c r="C17" s="27" t="s">
        <v>31</v>
      </c>
    </row>
    <row r="18" customFormat="false" ht="15" hidden="false" customHeight="false" outlineLevel="0" collapsed="false">
      <c r="A18" s="27" t="s">
        <v>381</v>
      </c>
      <c r="B18" s="35" t="n">
        <f aca="false">IFERROR(IF(B3="OK",IF(B14=0,0,IF(B14&lt;2300,B16,(-2*LOG10(B15/3.7+2.51/(B14*SQRT(B17))))^(-2))),""),"")</f>
        <v>0.019527552936431</v>
      </c>
      <c r="C18" s="27" t="s">
        <v>31</v>
      </c>
    </row>
    <row r="19" customFormat="false" ht="15" hidden="false" customHeight="false" outlineLevel="0" collapsed="false">
      <c r="A19" s="27" t="s">
        <v>382</v>
      </c>
      <c r="B19" s="35" t="n">
        <f aca="false">IFERROR(IF(B3="OK",IF(B14=0,0,IF(B14&lt;2300,B16,(-2*LOG10(B15/3.7+2.51/(B14*SQRT(B18))))^(-2))),""),"")</f>
        <v>0.0195281858572709</v>
      </c>
      <c r="C19" s="27" t="s">
        <v>31</v>
      </c>
    </row>
    <row r="20" customFormat="false" ht="15" hidden="false" customHeight="false" outlineLevel="0" collapsed="false">
      <c r="A20" s="27" t="s">
        <v>383</v>
      </c>
      <c r="B20" s="35" t="n">
        <f aca="false">IFERROR(IF(B3="OK",IF(B14=0,0,IF(B14&lt;2300,B16,(-2*LOG10(B15/3.7+2.51/(B14*SQRT(B19))))^(-2))),""),"")</f>
        <v>0.0195281518922101</v>
      </c>
      <c r="C20" s="27" t="s">
        <v>31</v>
      </c>
    </row>
    <row r="21" customFormat="false" ht="15" hidden="false" customHeight="false" outlineLevel="0" collapsed="false">
      <c r="A21" s="27" t="s">
        <v>384</v>
      </c>
      <c r="B21" s="35" t="n">
        <f aca="false">IFERROR(IF(B3="OK",IF(B14=0,0,IF(B14&lt;2300,B16,(-2*LOG10(B15/3.7+2.51/(B14*SQRT(B20))))^(-2))),""),"")</f>
        <v>0.0195281537148729</v>
      </c>
      <c r="C21" s="27" t="s">
        <v>31</v>
      </c>
    </row>
    <row r="22" customFormat="false" ht="15" hidden="false" customHeight="false" outlineLevel="0" collapsed="false">
      <c r="A22" s="27" t="s">
        <v>385</v>
      </c>
      <c r="B22" s="35" t="n">
        <f aca="false">IFERROR(IF(B3="OK",IF(B14=0,0,IF(B14&lt;2300,B16,(-2*LOG10(B15/3.7+2.51/(B14*SQRT(B21))))^(-2))),""),"")</f>
        <v>0.0195281536170635</v>
      </c>
      <c r="C22" s="27" t="s">
        <v>31</v>
      </c>
    </row>
    <row r="23" customFormat="false" ht="15" hidden="false" customHeight="false" outlineLevel="0" collapsed="false">
      <c r="A23" s="27" t="s">
        <v>386</v>
      </c>
      <c r="B23" s="35" t="n">
        <f aca="false">IFERROR(IF(B3="OK",B22,""),"")</f>
        <v>0.0195281536170635</v>
      </c>
      <c r="C23" s="27" t="s">
        <v>31</v>
      </c>
    </row>
    <row r="24" customFormat="false" ht="15" hidden="false" customHeight="false" outlineLevel="0" collapsed="false">
      <c r="A24" s="27" t="s">
        <v>387</v>
      </c>
      <c r="B24" s="27" t="str">
        <f aca="false">IFERROR(IF(B3="OK",IF(B14=0,"Ingen strømning",IF(B14&lt;2300,"Laminært",IF(B14&lt;4000,"Overgang","Turbulent"))),""),"")</f>
        <v>Turbulent</v>
      </c>
      <c r="C24" s="27"/>
    </row>
    <row r="25" customFormat="false" ht="15" hidden="false" customHeight="false" outlineLevel="0" collapsed="false">
      <c r="A25" s="27" t="s">
        <v>388</v>
      </c>
      <c r="B25" s="35" t="n">
        <f aca="false">IFERROR(IF(B3="OK",B10*B13^2/2,""),"")</f>
        <v>1746.5941971525</v>
      </c>
      <c r="C25" s="27" t="s">
        <v>389</v>
      </c>
    </row>
    <row r="26" customFormat="false" ht="15" hidden="false" customHeight="false" outlineLevel="0" collapsed="false">
      <c r="A26" s="27" t="s">
        <v>53</v>
      </c>
      <c r="B26" s="35" t="n">
        <f aca="false">IFERROR(IF(B3="OK",Trykkberegning!E30-Trykkberegning!E31,""),"")</f>
        <v>8</v>
      </c>
      <c r="C26" s="27" t="s">
        <v>50</v>
      </c>
    </row>
    <row r="29" customFormat="false" ht="15" hidden="false" customHeight="false" outlineLevel="0" collapsed="false">
      <c r="A29" s="27" t="s">
        <v>390</v>
      </c>
      <c r="B29" s="35" t="n">
        <f aca="false">IFERROR(IF(B4="OK",IF(Trykkberegning!E34="Rørstrekk-tabell",SUM(Rørstrekk!H7:H31)*1000,B23*Trykkberegning!E29/B8*B25),""),"")</f>
        <v>41342.7391377765</v>
      </c>
      <c r="C29" s="27" t="s">
        <v>389</v>
      </c>
      <c r="D29" s="27" t="s">
        <v>391</v>
      </c>
      <c r="E29" s="27" t="s">
        <v>72</v>
      </c>
    </row>
    <row r="30" customFormat="false" ht="15" hidden="false" customHeight="false" outlineLevel="0" collapsed="false">
      <c r="A30" s="27" t="s">
        <v>392</v>
      </c>
      <c r="B30" s="35" t="n">
        <f aca="false">IFERROR(IF(B4="OK",SUM(Bend!I7:I31)*1000,""),"")</f>
        <v>2243.74066707195</v>
      </c>
      <c r="C30" s="27" t="s">
        <v>389</v>
      </c>
      <c r="D30" s="27" t="str">
        <f aca="false">IF(AND(B4="OK",E30&lt;&gt;0),"Rørfriksjon","")</f>
        <v>Rørfriksjon</v>
      </c>
      <c r="E30" s="46" t="n">
        <f aca="false">IF(B4="OK",B29/100000,0)</f>
        <v>0.413427391377765</v>
      </c>
    </row>
    <row r="31" customFormat="false" ht="15" hidden="false" customHeight="false" outlineLevel="0" collapsed="false">
      <c r="A31" s="27" t="s">
        <v>393</v>
      </c>
      <c r="B31" s="35" t="n">
        <f aca="false">IFERROR(IF(B4="OK",SUM(Ventiler!D7:D31)*1000,""),"")</f>
        <v>0</v>
      </c>
      <c r="C31" s="27" t="s">
        <v>389</v>
      </c>
      <c r="D31" s="27" t="str">
        <f aca="false">IF(AND(B4="OK",E31&lt;&gt;0),"Bend / K","")</f>
        <v>Bend / K</v>
      </c>
      <c r="E31" s="46" t="n">
        <f aca="false">IF(B4="OK",B30/100000,0)</f>
        <v>0.0224374066707195</v>
      </c>
    </row>
    <row r="32" customFormat="false" ht="15" hidden="false" customHeight="false" outlineLevel="0" collapsed="false">
      <c r="A32" s="27" t="s">
        <v>394</v>
      </c>
      <c r="B32" s="35" t="n">
        <f aca="false">IFERROR(IF(B4="OK",SUM(Komponenter!D7:D31)*1000,""),"")</f>
        <v>0</v>
      </c>
      <c r="C32" s="27" t="s">
        <v>389</v>
      </c>
      <c r="D32" s="27" t="str">
        <f aca="false">IF(AND(B4="OK",E32&lt;&gt;0),"Ventiler","")</f>
        <v/>
      </c>
      <c r="E32" s="46" t="n">
        <f aca="false">IF(B4="OK",B31/100000,0)</f>
        <v>0</v>
      </c>
    </row>
    <row r="33" customFormat="false" ht="15" hidden="false" customHeight="false" outlineLevel="0" collapsed="false">
      <c r="A33" s="27" t="s">
        <v>395</v>
      </c>
      <c r="B33" s="35" t="n">
        <f aca="false">IFERROR(IF(B4="OK",IF(Trykkberegning!E17=0,0,Trykkberegning!E17*Trykkberegning!E18*B25),""),"")</f>
        <v>0</v>
      </c>
      <c r="C33" s="27" t="s">
        <v>389</v>
      </c>
      <c r="D33" s="27" t="str">
        <f aca="false">IF(AND(B4="OK",E33&lt;&gt;0),"Flenskoblinger","")</f>
        <v/>
      </c>
      <c r="E33" s="46" t="n">
        <f aca="false">IF(B4="OK",B33/100000,0)</f>
        <v>0</v>
      </c>
    </row>
    <row r="34" customFormat="false" ht="15" hidden="false" customHeight="false" outlineLevel="0" collapsed="false">
      <c r="A34" s="27" t="s">
        <v>396</v>
      </c>
      <c r="B34" s="0" t="n">
        <f aca="false">IFERROR(IF(B4="OK",SUM(Reduksjoner!J7:J31)*1000,""),"")</f>
        <v>0</v>
      </c>
      <c r="C34" s="27" t="s">
        <v>389</v>
      </c>
      <c r="D34" s="27" t="str">
        <f aca="false">IF(AND(B4="OK",E34&lt;&gt;0),"Andre komponenter","")</f>
        <v/>
      </c>
      <c r="E34" s="46" t="n">
        <f aca="false">IF(B4="OK",B32/100000,0)</f>
        <v>0</v>
      </c>
    </row>
    <row r="35" customFormat="false" ht="15" hidden="false" customHeight="false" outlineLevel="0" collapsed="false">
      <c r="A35" s="27" t="s">
        <v>16</v>
      </c>
      <c r="B35" s="35" t="n">
        <f aca="false">IFERROR(IF(B4="OK",SUM(B29:B34),""),"")</f>
        <v>43586.4798048485</v>
      </c>
      <c r="C35" s="27" t="s">
        <v>389</v>
      </c>
      <c r="D35" s="27" t="str">
        <f aca="false">IF(AND(B4="OK",E35&lt;&gt;0),"Høydebidrag","")</f>
        <v>Høydebidrag</v>
      </c>
      <c r="E35" s="46" t="n">
        <f aca="false">IF(B4="OK",B36/100000,0)</f>
        <v>0.7831198424</v>
      </c>
    </row>
    <row r="36" customFormat="false" ht="15" hidden="false" customHeight="false" outlineLevel="0" collapsed="false">
      <c r="A36" s="27" t="s">
        <v>397</v>
      </c>
      <c r="B36" s="35" t="n">
        <f aca="false">IFERROR(IF(B4="OK",B10*B6*B26,""),"")</f>
        <v>78311.98424</v>
      </c>
      <c r="C36" s="27" t="s">
        <v>389</v>
      </c>
      <c r="D36" s="27" t="str">
        <f aca="false">IF(AND(B4="OK",E36&lt;&gt;0),"Reduksjoner","")</f>
        <v/>
      </c>
      <c r="E36" s="46" t="n">
        <f aca="false">IF(B4="OK",B34/100000,0)</f>
        <v>0</v>
      </c>
    </row>
    <row r="37" customFormat="false" ht="15" hidden="false" customHeight="false" outlineLevel="0" collapsed="false">
      <c r="A37" s="27" t="s">
        <v>398</v>
      </c>
      <c r="B37" s="35" t="n">
        <f aca="false">IFERROR(IF(B4="OK",B35+B36+B40,""),"")</f>
        <v>121898.464044849</v>
      </c>
      <c r="C37" s="27" t="s">
        <v>389</v>
      </c>
      <c r="D37" s="27" t="str">
        <f aca="false">IF(AND(B4="OK",E37&lt;&gt;0),"Hastighetsbidrag","")</f>
        <v/>
      </c>
      <c r="E37" s="46" t="n">
        <f aca="false">IF(B4="OK",B40/100000,0)</f>
        <v>0</v>
      </c>
    </row>
    <row r="38" customFormat="false" ht="15" hidden="false" customHeight="false" outlineLevel="0" collapsed="false">
      <c r="A38" s="27" t="s">
        <v>399</v>
      </c>
      <c r="B38" s="35" t="n">
        <f aca="false">IFERROR(IF(B3="OK",IF(B14&lt;2300,0,1/SQRT(B23)+2*LOG10(B15/3.7+2.51/(B14*SQRT(B23)))),""),"")</f>
        <v>9.61685842071347E-010</v>
      </c>
      <c r="C38" s="27" t="s">
        <v>31</v>
      </c>
    </row>
    <row r="40" customFormat="false" ht="15" hidden="false" customHeight="false" outlineLevel="0" collapsed="false">
      <c r="A40" s="27" t="s">
        <v>400</v>
      </c>
      <c r="B40" s="35" t="n">
        <f aca="false">IFERROR(IF(B4="OK",B10/2*((B7/(PI()*(Reduksjoner!F4/1000)^2/4))^2-B13^2),""),"")</f>
        <v>0</v>
      </c>
      <c r="C40" s="27" t="s">
        <v>389</v>
      </c>
    </row>
  </sheetData>
  <mergeCells count="1">
    <mergeCell ref="A1: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0" t="s">
        <v>401</v>
      </c>
      <c r="B1" s="0" t="s">
        <v>402</v>
      </c>
      <c r="C1" s="0" t="s">
        <v>403</v>
      </c>
      <c r="D1" s="0" t="s">
        <v>322</v>
      </c>
      <c r="E1" s="0" t="s">
        <v>404</v>
      </c>
      <c r="F1" s="0" t="s">
        <v>405</v>
      </c>
      <c r="G1" s="0" t="s">
        <v>406</v>
      </c>
    </row>
    <row r="2" customFormat="false" ht="15" hidden="false" customHeight="false" outlineLevel="0" collapsed="false">
      <c r="A2" s="0" t="s">
        <v>5</v>
      </c>
      <c r="B2" s="0" t="s">
        <v>240</v>
      </c>
      <c r="C2" s="0" t="s">
        <v>284</v>
      </c>
      <c r="D2" s="0" t="s">
        <v>18</v>
      </c>
      <c r="E2" s="0" t="s">
        <v>407</v>
      </c>
      <c r="F2" s="0" t="s">
        <v>352</v>
      </c>
      <c r="G2" s="0" t="s">
        <v>155</v>
      </c>
      <c r="I2" s="0" t="s">
        <v>155</v>
      </c>
      <c r="J2" s="0" t="n">
        <v>1.5</v>
      </c>
      <c r="K2" s="0" t="s">
        <v>408</v>
      </c>
    </row>
    <row r="3" customFormat="false" ht="15" hidden="false" customHeight="false" outlineLevel="0" collapsed="false">
      <c r="A3" s="0" t="s">
        <v>268</v>
      </c>
      <c r="B3" s="0" t="s">
        <v>243</v>
      </c>
      <c r="C3" s="0" t="s">
        <v>287</v>
      </c>
      <c r="D3" s="0" t="s">
        <v>329</v>
      </c>
      <c r="E3" s="0" t="s">
        <v>409</v>
      </c>
      <c r="F3" s="0" t="s">
        <v>36</v>
      </c>
      <c r="G3" s="0" t="s">
        <v>158</v>
      </c>
      <c r="I3" s="0" t="s">
        <v>158</v>
      </c>
      <c r="J3" s="0" t="n">
        <v>1</v>
      </c>
      <c r="K3" s="0" t="s">
        <v>410</v>
      </c>
    </row>
    <row r="4" customFormat="false" ht="15" hidden="false" customHeight="false" outlineLevel="0" collapsed="false">
      <c r="A4" s="0" t="s">
        <v>283</v>
      </c>
      <c r="B4" s="0" t="s">
        <v>245</v>
      </c>
      <c r="C4" s="0" t="s">
        <v>289</v>
      </c>
      <c r="D4" s="0" t="s">
        <v>331</v>
      </c>
      <c r="E4" s="0" t="s">
        <v>21</v>
      </c>
      <c r="F4" s="0" t="s">
        <v>354</v>
      </c>
      <c r="G4" s="0" t="s">
        <v>411</v>
      </c>
      <c r="I4" s="0" t="s">
        <v>411</v>
      </c>
      <c r="J4" s="0" t="n">
        <v>0</v>
      </c>
      <c r="K4" s="0" t="s">
        <v>412</v>
      </c>
    </row>
    <row r="5" customFormat="false" ht="15" hidden="false" customHeight="false" outlineLevel="0" collapsed="false">
      <c r="B5" s="0" t="s">
        <v>247</v>
      </c>
      <c r="C5" s="0" t="s">
        <v>291</v>
      </c>
      <c r="D5" s="0" t="s">
        <v>335</v>
      </c>
      <c r="E5" s="0" t="s">
        <v>413</v>
      </c>
      <c r="F5" s="0" t="s">
        <v>355</v>
      </c>
      <c r="G5" s="0" t="s">
        <v>157</v>
      </c>
      <c r="I5" s="0" t="s">
        <v>157</v>
      </c>
      <c r="J5" s="0" t="n">
        <v>0</v>
      </c>
      <c r="K5" s="0" t="s">
        <v>412</v>
      </c>
    </row>
    <row r="6" customFormat="false" ht="15" hidden="false" customHeight="false" outlineLevel="0" collapsed="false">
      <c r="B6" s="0" t="s">
        <v>249</v>
      </c>
      <c r="C6" s="0" t="s">
        <v>293</v>
      </c>
      <c r="D6" s="0" t="s">
        <v>339</v>
      </c>
      <c r="E6" s="0" t="s">
        <v>414</v>
      </c>
      <c r="F6" s="0" t="s">
        <v>356</v>
      </c>
      <c r="G6" s="0" t="s">
        <v>156</v>
      </c>
      <c r="I6" s="0" t="s">
        <v>156</v>
      </c>
      <c r="J6" s="0" t="n">
        <v>0</v>
      </c>
      <c r="K6" s="0" t="s">
        <v>412</v>
      </c>
    </row>
    <row r="7" customFormat="false" ht="15" hidden="false" customHeight="false" outlineLevel="0" collapsed="false">
      <c r="B7" s="0" t="s">
        <v>251</v>
      </c>
      <c r="C7" s="0" t="s">
        <v>295</v>
      </c>
      <c r="D7" s="0" t="s">
        <v>341</v>
      </c>
      <c r="E7" s="0" t="s">
        <v>415</v>
      </c>
      <c r="F7" s="0" t="s">
        <v>357</v>
      </c>
      <c r="G7" s="0" t="s">
        <v>416</v>
      </c>
      <c r="I7" s="0" t="s">
        <v>416</v>
      </c>
      <c r="J7" s="0" t="n">
        <v>0</v>
      </c>
      <c r="K7" s="0" t="s">
        <v>412</v>
      </c>
    </row>
    <row r="8" customFormat="false" ht="15" hidden="false" customHeight="false" outlineLevel="0" collapsed="false">
      <c r="B8" s="0" t="s">
        <v>253</v>
      </c>
      <c r="C8" s="0" t="s">
        <v>297</v>
      </c>
      <c r="E8" s="0" t="s">
        <v>417</v>
      </c>
      <c r="F8" s="0" t="s">
        <v>359</v>
      </c>
      <c r="G8" s="0" t="s">
        <v>418</v>
      </c>
      <c r="I8" s="0" t="s">
        <v>418</v>
      </c>
      <c r="J8" s="0" t="n">
        <v>0</v>
      </c>
      <c r="K8" s="0" t="s">
        <v>419</v>
      </c>
    </row>
    <row r="9" customFormat="false" ht="15" hidden="false" customHeight="false" outlineLevel="0" collapsed="false">
      <c r="B9" s="0" t="s">
        <v>8</v>
      </c>
      <c r="C9" s="0" t="s">
        <v>299</v>
      </c>
      <c r="E9" s="0" t="s">
        <v>420</v>
      </c>
    </row>
    <row r="10" customFormat="false" ht="15" hidden="false" customHeight="false" outlineLevel="0" collapsed="false">
      <c r="B10" s="0" t="s">
        <v>256</v>
      </c>
      <c r="C10" s="0" t="s">
        <v>301</v>
      </c>
    </row>
    <row r="11" customFormat="false" ht="15" hidden="false" customHeight="false" outlineLevel="0" collapsed="false">
      <c r="B11" s="0" t="s">
        <v>258</v>
      </c>
      <c r="C11" s="0" t="s">
        <v>303</v>
      </c>
    </row>
    <row r="12" customFormat="false" ht="15" hidden="false" customHeight="false" outlineLevel="0" collapsed="false">
      <c r="B12" s="0" t="s">
        <v>260</v>
      </c>
      <c r="C12" s="0" t="s">
        <v>305</v>
      </c>
    </row>
    <row r="13" customFormat="false" ht="15" hidden="false" customHeight="false" outlineLevel="0" collapsed="false">
      <c r="B13" s="0" t="s">
        <v>262</v>
      </c>
      <c r="C13" s="0" t="s">
        <v>307</v>
      </c>
    </row>
    <row r="14" customFormat="false" ht="15" hidden="false" customHeight="false" outlineLevel="0" collapsed="false">
      <c r="B14" s="0" t="s">
        <v>264</v>
      </c>
      <c r="C14" s="0" t="s">
        <v>309</v>
      </c>
    </row>
    <row r="15" customFormat="false" ht="15" hidden="false" customHeight="false" outlineLevel="0" collapsed="false">
      <c r="B15" s="0" t="s">
        <v>266</v>
      </c>
      <c r="C15" s="0" t="s">
        <v>311</v>
      </c>
    </row>
    <row r="16" customFormat="false" ht="15" hidden="false" customHeight="false" outlineLevel="0" collapsed="false">
      <c r="B16" s="0" t="s">
        <v>421</v>
      </c>
      <c r="C16" s="0" t="s">
        <v>313</v>
      </c>
    </row>
    <row r="17" customFormat="false" ht="15" hidden="false" customHeight="false" outlineLevel="0" collapsed="false">
      <c r="C17" s="0" t="s">
        <v>315</v>
      </c>
    </row>
    <row r="18" customFormat="false" ht="15" hidden="false" customHeight="false" outlineLevel="0" collapsed="false">
      <c r="C18" s="0" t="s">
        <v>317</v>
      </c>
    </row>
    <row r="19" customFormat="false" ht="15" hidden="false" customHeight="false" outlineLevel="0" collapsed="false">
      <c r="C19" s="0" t="s">
        <v>319</v>
      </c>
    </row>
    <row r="20" customFormat="false" ht="15" hidden="false" customHeight="false" outlineLevel="0" collapsed="false">
      <c r="C20" s="0" t="s">
        <v>421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2026-10-14T10:41:02Z</dcterms:created>
  <dc:creator>R-rdimensjonering</dc:creator>
  <dc:description/>
  <dc:language>en-US</dc:language>
  <cp:lastModifiedBy/>
  <dcterms:modified xsi:type="dcterms:W3CDTF">2026-10-14T10:41:03Z</dcterms:modified>
  <cp:revision>0</cp:revision>
  <dc:subject>Darcy–Weisbach, Colebrook, bend og komponenttap</dc:subject>
  <dc:title>Trykkberegning av rør – væsker</dc:title>
</cp:coreProperties>
</file>

<file path=docProps/custom.xml><?xml version="1.0" encoding="utf-8"?>
<Properties xmlns="http://schemas.openxmlformats.org/officeDocument/2006/custom-properties" xmlns:vt="http://schemas.openxmlformats.org/officeDocument/2006/docPropsVTypes"/>
</file>